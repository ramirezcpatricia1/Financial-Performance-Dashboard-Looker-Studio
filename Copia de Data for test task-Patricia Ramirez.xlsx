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/>
  <mc:AlternateContent xmlns:mc="http://schemas.openxmlformats.org/markup-compatibility/2006">
    <mc:Choice Requires="x15">
      <x15ac:absPath xmlns:x15ac="http://schemas.microsoft.com/office/spreadsheetml/2010/11/ac" url="C:\Users\Lenovo\Documents\TESt\"/>
    </mc:Choice>
  </mc:AlternateContent>
  <xr:revisionPtr revIDLastSave="0" documentId="13_ncr:1_{CA3FA248-F9F7-4119-A444-5AEEFA52D4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nual" sheetId="1" r:id="rId1"/>
    <sheet name="Quaterly" sheetId="2" r:id="rId2"/>
  </sheets>
  <definedNames>
    <definedName name="_xlnm._FilterDatabase" localSheetId="1" hidden="1">Quaterly!$A$1:$N$47</definedName>
  </definedNames>
  <calcPr calcId="191029"/>
</workbook>
</file>

<file path=xl/calcChain.xml><?xml version="1.0" encoding="utf-8"?>
<calcChain xmlns="http://schemas.openxmlformats.org/spreadsheetml/2006/main">
  <c r="J46" i="2" l="1"/>
  <c r="J4" i="2"/>
  <c r="J5" i="2"/>
  <c r="J6" i="2"/>
  <c r="J7" i="2"/>
  <c r="J9" i="2"/>
  <c r="J10" i="2"/>
  <c r="J11" i="2"/>
  <c r="J12" i="2"/>
  <c r="J13" i="2"/>
  <c r="J14" i="2"/>
  <c r="J15" i="2"/>
  <c r="J17" i="2"/>
  <c r="J18" i="2"/>
  <c r="J19" i="2"/>
  <c r="J20" i="2"/>
  <c r="J21" i="2"/>
  <c r="J22" i="2"/>
  <c r="J23" i="2"/>
  <c r="J25" i="2"/>
  <c r="J26" i="2"/>
  <c r="J27" i="2"/>
  <c r="J28" i="2"/>
  <c r="J29" i="2"/>
  <c r="J31" i="2"/>
  <c r="J32" i="2"/>
  <c r="J33" i="2"/>
  <c r="J34" i="2"/>
  <c r="J35" i="2"/>
  <c r="J36" i="2"/>
  <c r="J37" i="2"/>
  <c r="J39" i="2"/>
  <c r="J40" i="2"/>
  <c r="J41" i="2"/>
  <c r="J42" i="2"/>
  <c r="J43" i="2"/>
  <c r="J44" i="2"/>
  <c r="J45" i="2"/>
  <c r="J47" i="2"/>
  <c r="J3" i="2"/>
  <c r="R2" i="2"/>
  <c r="I2" i="2"/>
  <c r="S47" i="2"/>
  <c r="P47" i="2"/>
  <c r="O47" i="2"/>
  <c r="R47" i="2" s="1"/>
  <c r="N47" i="2"/>
  <c r="Q47" i="2" s="1"/>
  <c r="M47" i="2"/>
  <c r="L47" i="2"/>
  <c r="K47" i="2"/>
  <c r="I47" i="2"/>
  <c r="P46" i="2"/>
  <c r="O46" i="2"/>
  <c r="R46" i="2" s="1"/>
  <c r="N46" i="2"/>
  <c r="Q45" i="2" s="1"/>
  <c r="M46" i="2"/>
  <c r="L46" i="2"/>
  <c r="K46" i="2"/>
  <c r="I46" i="2"/>
  <c r="P45" i="2"/>
  <c r="O45" i="2"/>
  <c r="N45" i="2"/>
  <c r="M45" i="2"/>
  <c r="L45" i="2"/>
  <c r="K45" i="2"/>
  <c r="I45" i="2"/>
  <c r="P44" i="2"/>
  <c r="O44" i="2"/>
  <c r="R44" i="2" s="1"/>
  <c r="N44" i="2"/>
  <c r="M44" i="2"/>
  <c r="L44" i="2"/>
  <c r="K44" i="2"/>
  <c r="I44" i="2"/>
  <c r="P43" i="2"/>
  <c r="S43" i="2" s="1"/>
  <c r="O43" i="2"/>
  <c r="N43" i="2"/>
  <c r="M43" i="2"/>
  <c r="L43" i="2"/>
  <c r="K43" i="2"/>
  <c r="I43" i="2"/>
  <c r="P42" i="2"/>
  <c r="S42" i="2" s="1"/>
  <c r="O42" i="2"/>
  <c r="R42" i="2" s="1"/>
  <c r="N42" i="2"/>
  <c r="Q42" i="2" s="1"/>
  <c r="M42" i="2"/>
  <c r="L42" i="2"/>
  <c r="K42" i="2"/>
  <c r="I42" i="2"/>
  <c r="Q41" i="2"/>
  <c r="P41" i="2"/>
  <c r="O41" i="2"/>
  <c r="N41" i="2"/>
  <c r="M41" i="2"/>
  <c r="L41" i="2"/>
  <c r="K41" i="2"/>
  <c r="I41" i="2"/>
  <c r="P40" i="2"/>
  <c r="O40" i="2"/>
  <c r="N40" i="2"/>
  <c r="Q40" i="2" s="1"/>
  <c r="M40" i="2"/>
  <c r="L40" i="2"/>
  <c r="K40" i="2"/>
  <c r="I40" i="2"/>
  <c r="P39" i="2"/>
  <c r="O39" i="2"/>
  <c r="R39" i="2" s="1"/>
  <c r="N39" i="2"/>
  <c r="Q39" i="2" s="1"/>
  <c r="M39" i="2"/>
  <c r="L39" i="2"/>
  <c r="K39" i="2"/>
  <c r="I39" i="2"/>
  <c r="P38" i="2"/>
  <c r="O38" i="2"/>
  <c r="R38" i="2" s="1"/>
  <c r="N38" i="2"/>
  <c r="M38" i="2"/>
  <c r="L38" i="2"/>
  <c r="K38" i="2"/>
  <c r="I38" i="2"/>
  <c r="P37" i="2"/>
  <c r="S37" i="2" s="1"/>
  <c r="O37" i="2"/>
  <c r="N37" i="2"/>
  <c r="M37" i="2"/>
  <c r="L37" i="2"/>
  <c r="K37" i="2"/>
  <c r="I37" i="2"/>
  <c r="P36" i="2"/>
  <c r="S36" i="2" s="1"/>
  <c r="O36" i="2"/>
  <c r="R36" i="2" s="1"/>
  <c r="N36" i="2"/>
  <c r="Q36" i="2" s="1"/>
  <c r="M36" i="2"/>
  <c r="L36" i="2"/>
  <c r="K36" i="2"/>
  <c r="I36" i="2"/>
  <c r="Q35" i="2"/>
  <c r="P35" i="2"/>
  <c r="O35" i="2"/>
  <c r="N35" i="2"/>
  <c r="M35" i="2"/>
  <c r="L35" i="2"/>
  <c r="K35" i="2"/>
  <c r="I35" i="2"/>
  <c r="P34" i="2"/>
  <c r="O34" i="2"/>
  <c r="N34" i="2"/>
  <c r="Q33" i="2" s="1"/>
  <c r="M34" i="2"/>
  <c r="L34" i="2"/>
  <c r="K34" i="2"/>
  <c r="I34" i="2"/>
  <c r="P33" i="2"/>
  <c r="O33" i="2"/>
  <c r="N33" i="2"/>
  <c r="M33" i="2"/>
  <c r="L33" i="2"/>
  <c r="K33" i="2"/>
  <c r="I33" i="2"/>
  <c r="P32" i="2"/>
  <c r="O32" i="2"/>
  <c r="R32" i="2" s="1"/>
  <c r="N32" i="2"/>
  <c r="Q32" i="2" s="1"/>
  <c r="M32" i="2"/>
  <c r="L32" i="2"/>
  <c r="K32" i="2"/>
  <c r="I32" i="2"/>
  <c r="P31" i="2"/>
  <c r="S31" i="2" s="1"/>
  <c r="O31" i="2"/>
  <c r="R31" i="2" s="1"/>
  <c r="N31" i="2"/>
  <c r="Q31" i="2" s="1"/>
  <c r="M31" i="2"/>
  <c r="L31" i="2"/>
  <c r="K31" i="2"/>
  <c r="I31" i="2"/>
  <c r="P30" i="2"/>
  <c r="S30" i="2" s="1"/>
  <c r="O30" i="2"/>
  <c r="R30" i="2" s="1"/>
  <c r="N30" i="2"/>
  <c r="Q30" i="2" s="1"/>
  <c r="M30" i="2"/>
  <c r="L30" i="2"/>
  <c r="K30" i="2"/>
  <c r="I30" i="2"/>
  <c r="Q29" i="2"/>
  <c r="P29" i="2"/>
  <c r="O29" i="2"/>
  <c r="N29" i="2"/>
  <c r="M29" i="2"/>
  <c r="L29" i="2"/>
  <c r="K29" i="2"/>
  <c r="I29" i="2"/>
  <c r="P28" i="2"/>
  <c r="O28" i="2"/>
  <c r="N28" i="2"/>
  <c r="Q28" i="2" s="1"/>
  <c r="M28" i="2"/>
  <c r="L28" i="2"/>
  <c r="K28" i="2"/>
  <c r="I28" i="2"/>
  <c r="P27" i="2"/>
  <c r="O27" i="2"/>
  <c r="N27" i="2"/>
  <c r="M27" i="2"/>
  <c r="L27" i="2"/>
  <c r="K27" i="2"/>
  <c r="I27" i="2"/>
  <c r="P26" i="2"/>
  <c r="O26" i="2"/>
  <c r="R26" i="2" s="1"/>
  <c r="N26" i="2"/>
  <c r="Q26" i="2" s="1"/>
  <c r="M26" i="2"/>
  <c r="L26" i="2"/>
  <c r="K26" i="2"/>
  <c r="I26" i="2"/>
  <c r="P25" i="2"/>
  <c r="S25" i="2" s="1"/>
  <c r="O25" i="2"/>
  <c r="R25" i="2" s="1"/>
  <c r="N25" i="2"/>
  <c r="Q25" i="2" s="1"/>
  <c r="M25" i="2"/>
  <c r="L25" i="2"/>
  <c r="K25" i="2"/>
  <c r="I25" i="2"/>
  <c r="P24" i="2"/>
  <c r="S24" i="2" s="1"/>
  <c r="O24" i="2"/>
  <c r="R24" i="2" s="1"/>
  <c r="N24" i="2"/>
  <c r="Q24" i="2" s="1"/>
  <c r="M24" i="2"/>
  <c r="L24" i="2"/>
  <c r="K24" i="2"/>
  <c r="I24" i="2"/>
  <c r="Q23" i="2"/>
  <c r="P23" i="2"/>
  <c r="O23" i="2"/>
  <c r="N23" i="2"/>
  <c r="M23" i="2"/>
  <c r="L23" i="2"/>
  <c r="K23" i="2"/>
  <c r="I23" i="2"/>
  <c r="P22" i="2"/>
  <c r="O22" i="2"/>
  <c r="N22" i="2"/>
  <c r="Q21" i="2" s="1"/>
  <c r="M22" i="2"/>
  <c r="L22" i="2"/>
  <c r="K22" i="2"/>
  <c r="I22" i="2"/>
  <c r="P21" i="2"/>
  <c r="O21" i="2"/>
  <c r="N21" i="2"/>
  <c r="M21" i="2"/>
  <c r="L21" i="2"/>
  <c r="K21" i="2"/>
  <c r="I21" i="2"/>
  <c r="P20" i="2"/>
  <c r="O20" i="2"/>
  <c r="R20" i="2" s="1"/>
  <c r="N20" i="2"/>
  <c r="Q19" i="2" s="1"/>
  <c r="M20" i="2"/>
  <c r="L20" i="2"/>
  <c r="K20" i="2"/>
  <c r="I20" i="2"/>
  <c r="P19" i="2"/>
  <c r="S19" i="2" s="1"/>
  <c r="O19" i="2"/>
  <c r="N19" i="2"/>
  <c r="M19" i="2"/>
  <c r="L19" i="2"/>
  <c r="K19" i="2"/>
  <c r="I19" i="2"/>
  <c r="P18" i="2"/>
  <c r="S18" i="2" s="1"/>
  <c r="O18" i="2"/>
  <c r="R18" i="2" s="1"/>
  <c r="N18" i="2"/>
  <c r="Q18" i="2" s="1"/>
  <c r="M18" i="2"/>
  <c r="L18" i="2"/>
  <c r="K18" i="2"/>
  <c r="I18" i="2"/>
  <c r="Q17" i="2"/>
  <c r="P17" i="2"/>
  <c r="S16" i="2" s="1"/>
  <c r="O17" i="2"/>
  <c r="R17" i="2" s="1"/>
  <c r="N17" i="2"/>
  <c r="M17" i="2"/>
  <c r="L17" i="2"/>
  <c r="K17" i="2"/>
  <c r="I17" i="2"/>
  <c r="P16" i="2"/>
  <c r="O16" i="2"/>
  <c r="N16" i="2"/>
  <c r="Q15" i="2" s="1"/>
  <c r="M16" i="2"/>
  <c r="L16" i="2"/>
  <c r="K16" i="2"/>
  <c r="I16" i="2"/>
  <c r="P15" i="2"/>
  <c r="O15" i="2"/>
  <c r="N15" i="2"/>
  <c r="M15" i="2"/>
  <c r="L15" i="2"/>
  <c r="K15" i="2"/>
  <c r="I15" i="2"/>
  <c r="P14" i="2"/>
  <c r="O14" i="2"/>
  <c r="R14" i="2" s="1"/>
  <c r="N14" i="2"/>
  <c r="Q13" i="2" s="1"/>
  <c r="M14" i="2"/>
  <c r="L14" i="2"/>
  <c r="K14" i="2"/>
  <c r="I14" i="2"/>
  <c r="P13" i="2"/>
  <c r="S13" i="2" s="1"/>
  <c r="O13" i="2"/>
  <c r="N13" i="2"/>
  <c r="M13" i="2"/>
  <c r="L13" i="2"/>
  <c r="K13" i="2"/>
  <c r="I13" i="2"/>
  <c r="S12" i="2"/>
  <c r="P12" i="2"/>
  <c r="O12" i="2"/>
  <c r="R12" i="2" s="1"/>
  <c r="N12" i="2"/>
  <c r="Q12" i="2" s="1"/>
  <c r="M12" i="2"/>
  <c r="L12" i="2"/>
  <c r="K12" i="2"/>
  <c r="I12" i="2"/>
  <c r="Q11" i="2"/>
  <c r="P11" i="2"/>
  <c r="S11" i="2" s="1"/>
  <c r="O11" i="2"/>
  <c r="R11" i="2" s="1"/>
  <c r="N11" i="2"/>
  <c r="M11" i="2"/>
  <c r="L11" i="2"/>
  <c r="K11" i="2"/>
  <c r="I11" i="2"/>
  <c r="S10" i="2"/>
  <c r="R10" i="2"/>
  <c r="Q10" i="2"/>
  <c r="Q9" i="2"/>
  <c r="P9" i="2"/>
  <c r="S9" i="2" s="1"/>
  <c r="O9" i="2"/>
  <c r="R9" i="2" s="1"/>
  <c r="N9" i="2"/>
  <c r="M9" i="2"/>
  <c r="L9" i="2"/>
  <c r="K9" i="2"/>
  <c r="I9" i="2"/>
  <c r="P8" i="2"/>
  <c r="O8" i="2"/>
  <c r="N8" i="2"/>
  <c r="Q8" i="2" s="1"/>
  <c r="M8" i="2"/>
  <c r="L8" i="2"/>
  <c r="K8" i="2"/>
  <c r="I8" i="2"/>
  <c r="P7" i="2"/>
  <c r="O7" i="2"/>
  <c r="N7" i="2"/>
  <c r="M7" i="2"/>
  <c r="L7" i="2"/>
  <c r="K7" i="2"/>
  <c r="I7" i="2"/>
  <c r="P6" i="2"/>
  <c r="S5" i="2" s="1"/>
  <c r="O6" i="2"/>
  <c r="R5" i="2" s="1"/>
  <c r="N6" i="2"/>
  <c r="Q6" i="2" s="1"/>
  <c r="M6" i="2"/>
  <c r="L6" i="2"/>
  <c r="K6" i="2"/>
  <c r="I6" i="2"/>
  <c r="P5" i="2"/>
  <c r="O5" i="2"/>
  <c r="N5" i="2"/>
  <c r="Q4" i="2" s="1"/>
  <c r="M5" i="2"/>
  <c r="L5" i="2"/>
  <c r="K5" i="2"/>
  <c r="I5" i="2"/>
  <c r="R4" i="2"/>
  <c r="P4" i="2"/>
  <c r="S4" i="2" s="1"/>
  <c r="O4" i="2"/>
  <c r="N4" i="2"/>
  <c r="M4" i="2"/>
  <c r="L4" i="2"/>
  <c r="K4" i="2"/>
  <c r="I4" i="2"/>
  <c r="P3" i="2"/>
  <c r="O3" i="2"/>
  <c r="R3" i="2" s="1"/>
  <c r="N3" i="2"/>
  <c r="Q3" i="2" s="1"/>
  <c r="M3" i="2"/>
  <c r="L3" i="2"/>
  <c r="K3" i="2"/>
  <c r="I3" i="2"/>
  <c r="P2" i="2"/>
  <c r="O2" i="2"/>
  <c r="N2" i="2"/>
  <c r="M2" i="2"/>
  <c r="L2" i="2"/>
  <c r="K2" i="2"/>
  <c r="M13" i="1"/>
  <c r="L13" i="1"/>
  <c r="K13" i="1"/>
  <c r="J13" i="1"/>
  <c r="I13" i="1"/>
  <c r="M12" i="1"/>
  <c r="L12" i="1"/>
  <c r="K12" i="1"/>
  <c r="J12" i="1"/>
  <c r="I12" i="1"/>
  <c r="M11" i="1"/>
  <c r="L11" i="1"/>
  <c r="K11" i="1"/>
  <c r="J11" i="1"/>
  <c r="I11" i="1"/>
  <c r="M10" i="1"/>
  <c r="L10" i="1"/>
  <c r="K10" i="1"/>
  <c r="J10" i="1"/>
  <c r="I10" i="1"/>
  <c r="M7" i="1"/>
  <c r="L7" i="1"/>
  <c r="K7" i="1"/>
  <c r="J7" i="1"/>
  <c r="I7" i="1"/>
  <c r="M6" i="1"/>
  <c r="L6" i="1"/>
  <c r="K6" i="1"/>
  <c r="J6" i="1"/>
  <c r="I6" i="1"/>
  <c r="M5" i="1"/>
  <c r="L5" i="1"/>
  <c r="K5" i="1"/>
  <c r="J5" i="1"/>
  <c r="I5" i="1"/>
  <c r="M4" i="1"/>
  <c r="L4" i="1"/>
  <c r="K4" i="1"/>
  <c r="J4" i="1"/>
  <c r="I4" i="1"/>
  <c r="M3" i="1"/>
  <c r="L3" i="1"/>
  <c r="K3" i="1"/>
  <c r="J3" i="1"/>
  <c r="I3" i="1"/>
  <c r="S3" i="2" l="1"/>
  <c r="R37" i="2"/>
  <c r="R43" i="2"/>
  <c r="Q2" i="2"/>
  <c r="R13" i="2"/>
  <c r="R45" i="2"/>
  <c r="R21" i="2"/>
  <c r="R27" i="2"/>
  <c r="R33" i="2"/>
  <c r="S38" i="2"/>
  <c r="S44" i="2"/>
  <c r="R15" i="2"/>
  <c r="S20" i="2"/>
  <c r="S26" i="2"/>
  <c r="S32" i="2"/>
  <c r="R8" i="2"/>
  <c r="S14" i="2"/>
  <c r="R23" i="2"/>
  <c r="R29" i="2"/>
  <c r="R35" i="2"/>
  <c r="R41" i="2"/>
  <c r="S46" i="2"/>
  <c r="R19" i="2"/>
  <c r="S7" i="2"/>
  <c r="S23" i="2"/>
  <c r="S28" i="2"/>
  <c r="S35" i="2"/>
  <c r="Q37" i="2"/>
  <c r="S40" i="2"/>
  <c r="Q43" i="2"/>
  <c r="S17" i="2"/>
  <c r="Q22" i="2"/>
  <c r="R16" i="2"/>
  <c r="Q16" i="2"/>
  <c r="S29" i="2"/>
  <c r="Q34" i="2"/>
  <c r="S41" i="2"/>
  <c r="Q46" i="2"/>
  <c r="S2" i="2"/>
  <c r="Q7" i="2"/>
  <c r="S8" i="2"/>
  <c r="R22" i="2"/>
  <c r="R28" i="2"/>
  <c r="R34" i="2"/>
  <c r="R40" i="2"/>
  <c r="R7" i="2"/>
  <c r="S22" i="2"/>
  <c r="Q27" i="2"/>
  <c r="S34" i="2"/>
  <c r="R6" i="2"/>
  <c r="Q14" i="2"/>
  <c r="S15" i="2"/>
  <c r="Q20" i="2"/>
  <c r="S21" i="2"/>
  <c r="S27" i="2"/>
  <c r="S33" i="2"/>
  <c r="Q38" i="2"/>
  <c r="S39" i="2"/>
  <c r="Q44" i="2"/>
  <c r="S45" i="2"/>
  <c r="Q5" i="2"/>
  <c r="S6" i="2"/>
</calcChain>
</file>

<file path=xl/sharedStrings.xml><?xml version="1.0" encoding="utf-8"?>
<sst xmlns="http://schemas.openxmlformats.org/spreadsheetml/2006/main" count="135" uniqueCount="37">
  <si>
    <t>Period</t>
  </si>
  <si>
    <t>Date</t>
  </si>
  <si>
    <t>Location</t>
  </si>
  <si>
    <t>Revenue</t>
  </si>
  <si>
    <t>COGS</t>
  </si>
  <si>
    <t>Overhead Labor</t>
  </si>
  <si>
    <t>Other expenses</t>
  </si>
  <si>
    <t>Billable Hours</t>
  </si>
  <si>
    <t>Share Revenue% in all</t>
  </si>
  <si>
    <t>Share % COGS</t>
  </si>
  <si>
    <t>Share % Overhead Labor</t>
  </si>
  <si>
    <t>Share % Other expenses</t>
  </si>
  <si>
    <t>Share %Billable Hours</t>
  </si>
  <si>
    <t>All</t>
  </si>
  <si>
    <t>Canada</t>
  </si>
  <si>
    <t>Europe</t>
  </si>
  <si>
    <t>India</t>
  </si>
  <si>
    <t>LatAm</t>
  </si>
  <si>
    <t>US</t>
  </si>
  <si>
    <t>Growth % Revenue</t>
  </si>
  <si>
    <t>Growth% COGS</t>
  </si>
  <si>
    <t>Growth%Overhead Labor</t>
  </si>
  <si>
    <t>Growth % Other Expenses</t>
  </si>
  <si>
    <t>Gross Profit Margin</t>
  </si>
  <si>
    <t>Operating Profit Margin</t>
  </si>
  <si>
    <t>Net Profit Margin</t>
  </si>
  <si>
    <t>Growth % GPM</t>
  </si>
  <si>
    <t>Growth % OPM</t>
  </si>
  <si>
    <t>growth % NPM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</si>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</sst>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b/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Arial"/>
      <scheme val="minor"/>
    </font>
    <font>
      <sz val="10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5" fontId="7" fillId="0" borderId="0" xfId="0" applyNumberFormat="1" applyFont="1"/>
    <xf numFmtId="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990"/>
  <sheetViews>
    <sheetView workbookViewId="0"/>
  </sheetViews>
  <sheetFormatPr defaultColWidth="12.6640625" defaultRowHeight="15.75" customHeight="1" x14ac:dyDescent="0.25"/>
  <sheetData>
    <row r="1" spans="1:71" ht="15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</row>
    <row r="2" spans="1:71" ht="15.75" customHeight="1" x14ac:dyDescent="0.3">
      <c r="A2" s="8">
        <v>2021</v>
      </c>
      <c r="B2" s="9">
        <v>44561</v>
      </c>
      <c r="C2" s="8" t="s">
        <v>13</v>
      </c>
      <c r="D2" s="10">
        <v>643600</v>
      </c>
      <c r="E2" s="10">
        <v>327500</v>
      </c>
      <c r="F2" s="10">
        <v>55050</v>
      </c>
      <c r="G2" s="10">
        <v>38380</v>
      </c>
      <c r="H2" s="11">
        <v>17237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</row>
    <row r="3" spans="1:71" ht="15.75" customHeight="1" x14ac:dyDescent="0.3">
      <c r="A3" s="8">
        <v>2021</v>
      </c>
      <c r="B3" s="9">
        <v>44561</v>
      </c>
      <c r="C3" s="8" t="s">
        <v>14</v>
      </c>
      <c r="D3" s="10">
        <v>128700</v>
      </c>
      <c r="E3" s="10">
        <v>68500</v>
      </c>
      <c r="F3" s="10">
        <v>8850</v>
      </c>
      <c r="G3" s="10">
        <v>6840</v>
      </c>
      <c r="H3" s="11">
        <v>3600</v>
      </c>
      <c r="I3" s="12">
        <f t="shared" ref="I3:M3" si="0">D3/$D$2</f>
        <v>0.19996892479801118</v>
      </c>
      <c r="J3" s="12">
        <f t="shared" si="0"/>
        <v>0.10643256681168428</v>
      </c>
      <c r="K3" s="12">
        <f t="shared" si="0"/>
        <v>1.375077688004972E-2</v>
      </c>
      <c r="L3" s="12">
        <f t="shared" si="0"/>
        <v>1.0627719080174021E-2</v>
      </c>
      <c r="M3" s="12">
        <f t="shared" si="0"/>
        <v>5.5935363579863269E-3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</row>
    <row r="4" spans="1:71" ht="15.75" customHeight="1" x14ac:dyDescent="0.3">
      <c r="A4" s="8">
        <v>2021</v>
      </c>
      <c r="B4" s="9">
        <v>44561</v>
      </c>
      <c r="C4" s="8" t="s">
        <v>15</v>
      </c>
      <c r="D4" s="10">
        <v>174000</v>
      </c>
      <c r="E4" s="10">
        <v>86100</v>
      </c>
      <c r="F4" s="10">
        <v>17610</v>
      </c>
      <c r="G4" s="10">
        <v>10250</v>
      </c>
      <c r="H4" s="11">
        <v>4638</v>
      </c>
      <c r="I4" s="12">
        <f t="shared" ref="I4:M4" si="1">D4/$D$2</f>
        <v>0.27035425730267248</v>
      </c>
      <c r="J4" s="12">
        <f t="shared" si="1"/>
        <v>0.13377874456183966</v>
      </c>
      <c r="K4" s="12">
        <f t="shared" si="1"/>
        <v>2.7361715351149781E-2</v>
      </c>
      <c r="L4" s="12">
        <f t="shared" si="1"/>
        <v>1.5926041019266625E-2</v>
      </c>
      <c r="M4" s="12">
        <f t="shared" si="1"/>
        <v>7.2063393412057182E-3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</row>
    <row r="5" spans="1:71" ht="15.75" customHeight="1" x14ac:dyDescent="0.3">
      <c r="A5" s="8">
        <v>2021</v>
      </c>
      <c r="B5" s="9">
        <v>44561</v>
      </c>
      <c r="C5" s="8" t="s">
        <v>16</v>
      </c>
      <c r="D5" s="10">
        <v>40500</v>
      </c>
      <c r="E5" s="10">
        <v>19700</v>
      </c>
      <c r="F5" s="10">
        <v>4750</v>
      </c>
      <c r="G5" s="10">
        <v>2350</v>
      </c>
      <c r="H5" s="11">
        <v>1049</v>
      </c>
      <c r="I5" s="12">
        <f t="shared" ref="I5:M5" si="2">D5/$D$2</f>
        <v>6.2927284027346181E-2</v>
      </c>
      <c r="J5" s="12">
        <f t="shared" si="2"/>
        <v>3.0609073958980732E-2</v>
      </c>
      <c r="K5" s="12">
        <f t="shared" si="2"/>
        <v>7.3803604723430699E-3</v>
      </c>
      <c r="L5" s="12">
        <f t="shared" si="2"/>
        <v>3.6513362336855191E-3</v>
      </c>
      <c r="M5" s="12">
        <f t="shared" si="2"/>
        <v>1.6298943443132381E-3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</row>
    <row r="6" spans="1:71" ht="15.75" customHeight="1" x14ac:dyDescent="0.3">
      <c r="A6" s="8">
        <v>2021</v>
      </c>
      <c r="B6" s="9">
        <v>44561</v>
      </c>
      <c r="C6" s="8" t="s">
        <v>17</v>
      </c>
      <c r="D6" s="10">
        <v>110100</v>
      </c>
      <c r="E6" s="10">
        <v>55400</v>
      </c>
      <c r="F6" s="10">
        <v>9600</v>
      </c>
      <c r="G6" s="10">
        <v>7900</v>
      </c>
      <c r="H6" s="11">
        <v>2718</v>
      </c>
      <c r="I6" s="12">
        <f t="shared" ref="I6:M6" si="3">D6/$D$2</f>
        <v>0.17106898694841516</v>
      </c>
      <c r="J6" s="12">
        <f t="shared" si="3"/>
        <v>8.6078309509011811E-2</v>
      </c>
      <c r="K6" s="12">
        <f t="shared" si="3"/>
        <v>1.4916096954630205E-2</v>
      </c>
      <c r="L6" s="12">
        <f t="shared" si="3"/>
        <v>1.2274704785581106E-2</v>
      </c>
      <c r="M6" s="12">
        <f t="shared" si="3"/>
        <v>4.223119950279677E-3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</row>
    <row r="7" spans="1:71" ht="15.75" customHeight="1" x14ac:dyDescent="0.3">
      <c r="A7" s="8">
        <v>2021</v>
      </c>
      <c r="B7" s="9">
        <v>44561</v>
      </c>
      <c r="C7" s="8" t="s">
        <v>18</v>
      </c>
      <c r="D7" s="10">
        <v>190300</v>
      </c>
      <c r="E7" s="10">
        <v>97800</v>
      </c>
      <c r="F7" s="10">
        <v>14240</v>
      </c>
      <c r="G7" s="10">
        <v>11040</v>
      </c>
      <c r="H7" s="11">
        <v>5232</v>
      </c>
      <c r="I7" s="12">
        <f t="shared" ref="I7:M7" si="4">D7/$D$2</f>
        <v>0.295680546923555</v>
      </c>
      <c r="J7" s="12">
        <f t="shared" si="4"/>
        <v>0.15195773772529522</v>
      </c>
      <c r="K7" s="12">
        <f t="shared" si="4"/>
        <v>2.2125543816034803E-2</v>
      </c>
      <c r="L7" s="12">
        <f t="shared" si="4"/>
        <v>1.7153511497824736E-2</v>
      </c>
      <c r="M7" s="12">
        <f t="shared" si="4"/>
        <v>8.1292728402734618E-3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</row>
    <row r="8" spans="1:71" ht="15.75" customHeight="1" x14ac:dyDescent="0.3">
      <c r="A8" s="8">
        <v>2022</v>
      </c>
      <c r="B8" s="9">
        <v>44926</v>
      </c>
      <c r="C8" s="8" t="s">
        <v>13</v>
      </c>
      <c r="D8" s="10">
        <v>900800</v>
      </c>
      <c r="E8" s="10">
        <v>462150</v>
      </c>
      <c r="F8" s="10">
        <v>82350</v>
      </c>
      <c r="G8" s="10">
        <v>47830</v>
      </c>
      <c r="H8" s="11">
        <v>22697</v>
      </c>
      <c r="I8" s="12"/>
      <c r="J8" s="12"/>
      <c r="K8" s="12"/>
      <c r="L8" s="12"/>
      <c r="M8" s="12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</row>
    <row r="9" spans="1:71" ht="15.75" customHeight="1" x14ac:dyDescent="0.3">
      <c r="A9" s="8">
        <v>2022</v>
      </c>
      <c r="B9" s="9">
        <v>44926</v>
      </c>
      <c r="C9" s="8" t="s">
        <v>14</v>
      </c>
      <c r="D9" s="10">
        <v>198400</v>
      </c>
      <c r="E9" s="10">
        <v>97450</v>
      </c>
      <c r="F9" s="10">
        <v>15800</v>
      </c>
      <c r="G9" s="10">
        <v>11950</v>
      </c>
      <c r="H9" s="11">
        <v>5050</v>
      </c>
      <c r="I9" s="12"/>
      <c r="J9" s="12"/>
      <c r="K9" s="12"/>
      <c r="L9" s="12"/>
      <c r="M9" s="12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</row>
    <row r="10" spans="1:71" ht="15.75" customHeight="1" x14ac:dyDescent="0.3">
      <c r="A10" s="8">
        <v>2022</v>
      </c>
      <c r="B10" s="9">
        <v>44926</v>
      </c>
      <c r="C10" s="8" t="s">
        <v>15</v>
      </c>
      <c r="D10" s="10">
        <v>201500</v>
      </c>
      <c r="E10" s="10">
        <v>118000</v>
      </c>
      <c r="F10" s="10">
        <v>17380</v>
      </c>
      <c r="G10" s="10">
        <v>4250</v>
      </c>
      <c r="H10" s="11">
        <v>5016</v>
      </c>
      <c r="I10" s="12">
        <f t="shared" ref="I10:M10" si="5">D9/D$8</f>
        <v>0.2202486678507993</v>
      </c>
      <c r="J10" s="12">
        <f t="shared" si="5"/>
        <v>0.21086227415341338</v>
      </c>
      <c r="K10" s="12">
        <f t="shared" si="5"/>
        <v>0.19186399514268368</v>
      </c>
      <c r="L10" s="12">
        <f t="shared" si="5"/>
        <v>0.24984319464771065</v>
      </c>
      <c r="M10" s="12">
        <f t="shared" si="5"/>
        <v>0.22249636515839097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</row>
    <row r="11" spans="1:71" ht="15.75" customHeight="1" x14ac:dyDescent="0.3">
      <c r="A11" s="8">
        <v>2022</v>
      </c>
      <c r="B11" s="9">
        <v>44926</v>
      </c>
      <c r="C11" s="8" t="s">
        <v>16</v>
      </c>
      <c r="D11" s="10">
        <v>108400</v>
      </c>
      <c r="E11" s="10">
        <v>55200</v>
      </c>
      <c r="F11" s="10">
        <v>12240</v>
      </c>
      <c r="G11" s="10">
        <v>6350</v>
      </c>
      <c r="H11" s="11">
        <v>2930</v>
      </c>
      <c r="I11" s="12">
        <f t="shared" ref="I11:M11" si="6">D10/D$8</f>
        <v>0.22369005328596803</v>
      </c>
      <c r="J11" s="12">
        <f t="shared" si="6"/>
        <v>0.25532835659417941</v>
      </c>
      <c r="K11" s="12">
        <f t="shared" si="6"/>
        <v>0.21105039465695202</v>
      </c>
      <c r="L11" s="12">
        <f t="shared" si="6"/>
        <v>8.8856366297302952E-2</v>
      </c>
      <c r="M11" s="12">
        <f t="shared" si="6"/>
        <v>0.22099836982861171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</row>
    <row r="12" spans="1:71" ht="15.75" customHeight="1" x14ac:dyDescent="0.3">
      <c r="A12" s="8">
        <v>2022</v>
      </c>
      <c r="B12" s="9">
        <v>44926</v>
      </c>
      <c r="C12" s="8" t="s">
        <v>17</v>
      </c>
      <c r="D12" s="10">
        <v>180500</v>
      </c>
      <c r="E12" s="10">
        <v>86800</v>
      </c>
      <c r="F12" s="10">
        <v>20250</v>
      </c>
      <c r="G12" s="10">
        <v>11900</v>
      </c>
      <c r="H12" s="11">
        <v>4265</v>
      </c>
      <c r="I12" s="12">
        <f t="shared" ref="I12:M12" si="7">D11/D$8</f>
        <v>0.12033747779751332</v>
      </c>
      <c r="J12" s="12">
        <f t="shared" si="7"/>
        <v>0.11944173969490425</v>
      </c>
      <c r="K12" s="12">
        <f t="shared" si="7"/>
        <v>0.14863387978142076</v>
      </c>
      <c r="L12" s="12">
        <f t="shared" si="7"/>
        <v>0.13276186493832323</v>
      </c>
      <c r="M12" s="12">
        <f t="shared" si="7"/>
        <v>0.12909195047803673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</row>
    <row r="13" spans="1:71" ht="15.75" customHeight="1" x14ac:dyDescent="0.3">
      <c r="A13" s="8">
        <v>2022</v>
      </c>
      <c r="B13" s="9">
        <v>44926</v>
      </c>
      <c r="C13" s="8" t="s">
        <v>18</v>
      </c>
      <c r="D13" s="10">
        <v>212000</v>
      </c>
      <c r="E13" s="10">
        <v>104700</v>
      </c>
      <c r="F13" s="10">
        <v>16680</v>
      </c>
      <c r="G13" s="10">
        <v>13380</v>
      </c>
      <c r="H13" s="11">
        <v>5436</v>
      </c>
      <c r="I13" s="12">
        <f t="shared" ref="I13:M13" si="8">D12/D$8</f>
        <v>0.20037744227353463</v>
      </c>
      <c r="J13" s="12">
        <f t="shared" si="8"/>
        <v>0.18781780807097262</v>
      </c>
      <c r="K13" s="12">
        <f t="shared" si="8"/>
        <v>0.24590163934426229</v>
      </c>
      <c r="L13" s="12">
        <f t="shared" si="8"/>
        <v>0.24879782563244826</v>
      </c>
      <c r="M13" s="12">
        <f t="shared" si="8"/>
        <v>0.18791029651495791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</row>
    <row r="14" spans="1:71" ht="15.7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</row>
    <row r="15" spans="1:71" ht="15.75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</row>
    <row r="16" spans="1:71" ht="15.7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</row>
    <row r="17" spans="1:71" ht="15.7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</row>
    <row r="18" spans="1:71" ht="15.7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</row>
    <row r="19" spans="1:71" ht="15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</row>
    <row r="20" spans="1:71" ht="15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</row>
    <row r="21" spans="1:71" ht="15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</row>
    <row r="22" spans="1:71" ht="15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</row>
    <row r="23" spans="1:71" ht="15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</row>
    <row r="24" spans="1:71" ht="15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</row>
    <row r="25" spans="1:71" ht="15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</row>
    <row r="26" spans="1:71" ht="15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</row>
    <row r="27" spans="1:71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</row>
    <row r="28" spans="1:71" ht="13.8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</row>
    <row r="29" spans="1:71" ht="13.8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</row>
    <row r="30" spans="1:71" ht="13.8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</row>
    <row r="31" spans="1:71" ht="13.8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</row>
    <row r="32" spans="1:71" ht="13.8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</row>
    <row r="33" spans="1:71" ht="13.8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</row>
    <row r="34" spans="1:71" ht="13.8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</row>
    <row r="35" spans="1:71" ht="13.8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</row>
    <row r="36" spans="1:71" ht="13.8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</row>
    <row r="37" spans="1:71" ht="13.8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</row>
    <row r="38" spans="1:71" ht="13.8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</row>
    <row r="39" spans="1:71" ht="13.8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</row>
    <row r="40" spans="1:71" ht="13.8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</row>
    <row r="41" spans="1:71" ht="13.8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</row>
    <row r="42" spans="1:71" ht="13.8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</row>
    <row r="43" spans="1:71" ht="13.8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</row>
    <row r="44" spans="1:71" ht="13.8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</row>
    <row r="45" spans="1:71" ht="13.8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</row>
    <row r="46" spans="1:71" ht="13.8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</row>
    <row r="47" spans="1:71" ht="13.8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</row>
    <row r="48" spans="1:71" ht="13.8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</row>
    <row r="49" spans="1:71" ht="13.8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</row>
    <row r="50" spans="1:71" ht="13.8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</row>
    <row r="51" spans="1:71" ht="13.8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</row>
    <row r="52" spans="1:71" ht="13.8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</row>
    <row r="53" spans="1:71" ht="13.8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</row>
    <row r="54" spans="1:71" ht="13.8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</row>
    <row r="55" spans="1:71" ht="13.8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</row>
    <row r="56" spans="1:71" ht="13.8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</row>
    <row r="57" spans="1:71" ht="13.8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</row>
    <row r="58" spans="1:71" ht="13.8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</row>
    <row r="59" spans="1:71" ht="13.8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</row>
    <row r="60" spans="1:71" ht="13.8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</row>
    <row r="61" spans="1:71" ht="13.8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</row>
    <row r="62" spans="1:71" ht="13.8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</row>
    <row r="63" spans="1:71" ht="13.8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</row>
    <row r="64" spans="1:71" ht="13.8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</row>
    <row r="65" spans="1:71" ht="13.8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</row>
    <row r="66" spans="1:71" ht="13.8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</row>
    <row r="67" spans="1:71" ht="13.8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</row>
    <row r="68" spans="1:71" ht="13.8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</row>
    <row r="69" spans="1:71" ht="13.8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</row>
    <row r="70" spans="1:71" ht="13.8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</row>
    <row r="71" spans="1:71" ht="13.8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</row>
    <row r="72" spans="1:71" ht="13.8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</row>
    <row r="73" spans="1:71" ht="13.8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</row>
    <row r="74" spans="1:71" ht="13.8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</row>
    <row r="75" spans="1:71" ht="13.8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</row>
    <row r="76" spans="1:71" ht="13.8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</row>
    <row r="77" spans="1:71" ht="13.8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</row>
    <row r="78" spans="1:71" ht="13.8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</row>
    <row r="79" spans="1:71" ht="13.8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</row>
    <row r="80" spans="1:71" ht="13.8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</row>
    <row r="81" spans="1:71" ht="13.8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</row>
    <row r="82" spans="1:71" ht="13.8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</row>
    <row r="83" spans="1:71" ht="13.8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</row>
    <row r="84" spans="1:71" ht="13.8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</row>
    <row r="85" spans="1:71" ht="13.8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</row>
    <row r="86" spans="1:71" ht="13.8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</row>
    <row r="87" spans="1:71" ht="13.8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</row>
    <row r="88" spans="1:71" ht="13.8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</row>
    <row r="89" spans="1:71" ht="13.8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</row>
    <row r="90" spans="1:71" ht="13.8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</row>
    <row r="91" spans="1:71" ht="13.8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</row>
    <row r="92" spans="1:71" ht="13.8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</row>
    <row r="93" spans="1:71" ht="13.8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</row>
    <row r="94" spans="1:71" ht="13.8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</row>
    <row r="95" spans="1:71" ht="13.8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</row>
    <row r="96" spans="1:71" ht="13.8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</row>
    <row r="97" spans="1:71" ht="13.8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</row>
    <row r="98" spans="1:71" ht="13.8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</row>
    <row r="99" spans="1:71" ht="13.8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</row>
    <row r="100" spans="1:71" ht="13.8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</row>
    <row r="101" spans="1:71" ht="13.8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</row>
    <row r="102" spans="1:71" ht="13.8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</row>
    <row r="103" spans="1:71" ht="13.8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</row>
    <row r="104" spans="1:71" ht="13.8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</row>
    <row r="105" spans="1:71" ht="13.8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</row>
    <row r="106" spans="1:71" ht="13.8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</row>
    <row r="107" spans="1:71" ht="13.8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</row>
    <row r="108" spans="1:71" ht="13.8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</row>
    <row r="109" spans="1:71" ht="13.8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</row>
    <row r="110" spans="1:71" ht="13.8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</row>
    <row r="111" spans="1:71" ht="13.8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</row>
    <row r="112" spans="1:71" ht="13.8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</row>
    <row r="113" spans="1:71" ht="13.8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</row>
    <row r="114" spans="1:71" ht="13.8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</row>
    <row r="115" spans="1:71" ht="13.8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</row>
    <row r="116" spans="1:71" ht="13.8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</row>
    <row r="117" spans="1:71" ht="13.8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</row>
    <row r="118" spans="1:71" ht="13.8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</row>
    <row r="119" spans="1:71" ht="13.8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</row>
    <row r="120" spans="1:71" ht="13.8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</row>
    <row r="121" spans="1:71" ht="13.8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</row>
    <row r="122" spans="1:71" ht="13.8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</row>
    <row r="123" spans="1:71" ht="13.8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</row>
    <row r="124" spans="1:71" ht="13.8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</row>
    <row r="125" spans="1:71" ht="13.8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</row>
    <row r="126" spans="1:71" ht="13.8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</row>
    <row r="127" spans="1:71" ht="13.8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</row>
    <row r="128" spans="1:71" ht="13.8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</row>
    <row r="129" spans="1:71" ht="13.8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</row>
    <row r="130" spans="1:71" ht="13.8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</row>
    <row r="131" spans="1:71" ht="13.8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</row>
    <row r="132" spans="1:71" ht="13.8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</row>
    <row r="133" spans="1:71" ht="13.8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</row>
    <row r="134" spans="1:71" ht="13.8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</row>
    <row r="135" spans="1:71" ht="13.8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</row>
    <row r="136" spans="1:71" ht="13.8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</row>
    <row r="137" spans="1:71" ht="13.8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</row>
    <row r="138" spans="1:71" ht="13.8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</row>
    <row r="139" spans="1:71" ht="13.8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</row>
    <row r="140" spans="1:71" ht="13.8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</row>
    <row r="141" spans="1:71" ht="13.8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</row>
    <row r="142" spans="1:71" ht="13.8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</row>
    <row r="143" spans="1:71" ht="13.8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</row>
    <row r="144" spans="1:71" ht="13.8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</row>
    <row r="145" spans="1:71" ht="13.8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</row>
    <row r="146" spans="1:71" ht="13.8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</row>
    <row r="147" spans="1:71" ht="13.8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</row>
    <row r="148" spans="1:71" ht="13.8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</row>
    <row r="149" spans="1:71" ht="13.8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</row>
    <row r="150" spans="1:71" ht="13.8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</row>
    <row r="151" spans="1:71" ht="13.8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</row>
    <row r="152" spans="1:71" ht="13.8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</row>
    <row r="153" spans="1:71" ht="13.8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</row>
    <row r="154" spans="1:71" ht="13.8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</row>
    <row r="155" spans="1:71" ht="13.8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</row>
    <row r="156" spans="1:71" ht="13.8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</row>
    <row r="157" spans="1:71" ht="13.8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</row>
    <row r="158" spans="1:71" ht="13.8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</row>
    <row r="159" spans="1:71" ht="13.8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</row>
    <row r="160" spans="1:71" ht="13.8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</row>
    <row r="161" spans="1:71" ht="13.8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</row>
    <row r="162" spans="1:71" ht="13.8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</row>
    <row r="163" spans="1:71" ht="13.8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</row>
    <row r="164" spans="1:71" ht="13.8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</row>
    <row r="165" spans="1:71" ht="13.8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</row>
    <row r="166" spans="1:71" ht="13.8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</row>
    <row r="167" spans="1:71" ht="13.8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</row>
    <row r="168" spans="1:71" ht="13.8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</row>
    <row r="169" spans="1:71" ht="13.8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</row>
    <row r="170" spans="1:71" ht="13.8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</row>
    <row r="171" spans="1:71" ht="13.8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</row>
    <row r="172" spans="1:71" ht="13.8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</row>
    <row r="173" spans="1:71" ht="13.8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</row>
    <row r="174" spans="1:71" ht="13.8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</row>
    <row r="175" spans="1:71" ht="13.8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</row>
    <row r="176" spans="1:71" ht="13.8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</row>
    <row r="177" spans="1:71" ht="13.8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</row>
    <row r="178" spans="1:71" ht="13.8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</row>
    <row r="179" spans="1:71" ht="13.8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</row>
    <row r="180" spans="1:71" ht="13.8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</row>
    <row r="181" spans="1:71" ht="13.8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</row>
    <row r="182" spans="1:71" ht="13.8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</row>
    <row r="183" spans="1:71" ht="13.8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</row>
    <row r="184" spans="1:71" ht="13.8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</row>
    <row r="185" spans="1:71" ht="13.8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</row>
    <row r="186" spans="1:71" ht="13.8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</row>
    <row r="187" spans="1:71" ht="13.8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</row>
    <row r="188" spans="1:71" ht="13.8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</row>
    <row r="189" spans="1:71" ht="13.8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</row>
    <row r="190" spans="1:71" ht="13.8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</row>
    <row r="191" spans="1:71" ht="13.8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</row>
    <row r="192" spans="1:71" ht="13.8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</row>
    <row r="193" spans="1:71" ht="13.8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</row>
    <row r="194" spans="1:71" ht="13.8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</row>
    <row r="195" spans="1:71" ht="13.8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</row>
    <row r="196" spans="1:71" ht="13.8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</row>
    <row r="197" spans="1:71" ht="13.8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</row>
    <row r="198" spans="1:71" ht="13.8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</row>
    <row r="199" spans="1:71" ht="13.8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</row>
    <row r="200" spans="1:71" ht="13.8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</row>
    <row r="201" spans="1:71" ht="13.8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</row>
    <row r="202" spans="1:71" ht="13.8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</row>
    <row r="203" spans="1:71" ht="13.8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</row>
    <row r="204" spans="1:71" ht="13.8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</row>
    <row r="205" spans="1:71" ht="13.8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</row>
    <row r="206" spans="1:71" ht="13.8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</row>
    <row r="207" spans="1:71" ht="13.8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</row>
    <row r="208" spans="1:71" ht="13.8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</row>
    <row r="209" spans="1:71" ht="13.8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</row>
    <row r="210" spans="1:71" ht="13.8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</row>
    <row r="211" spans="1:71" ht="13.8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</row>
    <row r="212" spans="1:71" ht="13.8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</row>
    <row r="213" spans="1:71" ht="13.8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</row>
    <row r="214" spans="1:71" ht="13.8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</row>
    <row r="215" spans="1:71" ht="13.8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</row>
    <row r="216" spans="1:71" ht="13.8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</row>
    <row r="217" spans="1:71" ht="13.8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</row>
    <row r="218" spans="1:71" ht="13.8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</row>
    <row r="219" spans="1:71" ht="13.8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</row>
    <row r="220" spans="1:71" ht="13.8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</row>
    <row r="221" spans="1:71" ht="13.8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</row>
    <row r="222" spans="1:71" ht="13.8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</row>
    <row r="223" spans="1:71" ht="13.8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</row>
    <row r="224" spans="1:71" ht="13.8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</row>
    <row r="225" spans="1:71" ht="13.8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</row>
    <row r="226" spans="1:71" ht="13.8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</row>
    <row r="227" spans="1:71" ht="13.8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</row>
    <row r="228" spans="1:71" ht="13.8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</row>
    <row r="229" spans="1:71" ht="13.8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</row>
    <row r="230" spans="1:71" ht="13.8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</row>
    <row r="231" spans="1:71" ht="13.8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</row>
    <row r="232" spans="1:71" ht="13.8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</row>
    <row r="233" spans="1:71" ht="13.8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</row>
    <row r="234" spans="1:71" ht="13.8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</row>
    <row r="235" spans="1:71" ht="13.8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</row>
    <row r="236" spans="1:71" ht="13.8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</row>
    <row r="237" spans="1:71" ht="13.8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</row>
    <row r="238" spans="1:71" ht="13.8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</row>
    <row r="239" spans="1:71" ht="13.8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</row>
    <row r="240" spans="1:71" ht="13.8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</row>
    <row r="241" spans="1:71" ht="13.8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</row>
    <row r="242" spans="1:71" ht="13.8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</row>
    <row r="243" spans="1:71" ht="13.8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</row>
    <row r="244" spans="1:71" ht="13.8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</row>
    <row r="245" spans="1:71" ht="13.8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</row>
    <row r="246" spans="1:71" ht="13.8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</row>
    <row r="247" spans="1:71" ht="13.8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</row>
    <row r="248" spans="1:71" ht="13.8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</row>
    <row r="249" spans="1:71" ht="13.8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</row>
    <row r="250" spans="1:71" ht="13.8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</row>
    <row r="251" spans="1:71" ht="13.8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</row>
    <row r="252" spans="1:71" ht="13.8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</row>
    <row r="253" spans="1:71" ht="13.8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</row>
    <row r="254" spans="1:71" ht="13.8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</row>
    <row r="255" spans="1:71" ht="13.8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</row>
    <row r="256" spans="1:71" ht="13.8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</row>
    <row r="257" spans="1:71" ht="13.8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</row>
    <row r="258" spans="1:71" ht="13.8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</row>
    <row r="259" spans="1:71" ht="13.8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</row>
    <row r="260" spans="1:71" ht="13.8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</row>
    <row r="261" spans="1:71" ht="13.8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</row>
    <row r="262" spans="1:71" ht="13.8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</row>
    <row r="263" spans="1:71" ht="13.8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</row>
    <row r="264" spans="1:71" ht="13.8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</row>
    <row r="265" spans="1:71" ht="13.8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</row>
    <row r="266" spans="1:71" ht="13.8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</row>
    <row r="267" spans="1:71" ht="13.8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</row>
    <row r="268" spans="1:71" ht="13.8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</row>
    <row r="269" spans="1:71" ht="13.8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</row>
    <row r="270" spans="1:71" ht="13.8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</row>
    <row r="271" spans="1:71" ht="13.8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</row>
    <row r="272" spans="1:71" ht="13.8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</row>
    <row r="273" spans="1:71" ht="13.8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</row>
    <row r="274" spans="1:71" ht="13.8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</row>
    <row r="275" spans="1:71" ht="13.8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</row>
    <row r="276" spans="1:71" ht="13.8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</row>
    <row r="277" spans="1:71" ht="13.8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</row>
    <row r="278" spans="1:71" ht="13.8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</row>
    <row r="279" spans="1:71" ht="13.8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</row>
    <row r="280" spans="1:71" ht="13.8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</row>
    <row r="281" spans="1:71" ht="13.8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</row>
    <row r="282" spans="1:71" ht="13.8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</row>
    <row r="283" spans="1:71" ht="13.8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</row>
    <row r="284" spans="1:71" ht="13.8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</row>
    <row r="285" spans="1:71" ht="13.8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</row>
    <row r="286" spans="1:71" ht="13.8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</row>
    <row r="287" spans="1:71" ht="13.8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</row>
    <row r="288" spans="1:71" ht="13.8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</row>
    <row r="289" spans="1:71" ht="13.8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</row>
    <row r="290" spans="1:71" ht="13.8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</row>
    <row r="291" spans="1:71" ht="13.8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</row>
    <row r="292" spans="1:71" ht="13.8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</row>
    <row r="293" spans="1:71" ht="13.8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</row>
    <row r="294" spans="1:71" ht="13.8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</row>
    <row r="295" spans="1:71" ht="13.8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</row>
    <row r="296" spans="1:71" ht="13.8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</row>
    <row r="297" spans="1:71" ht="13.8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</row>
    <row r="298" spans="1:71" ht="13.8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</row>
    <row r="299" spans="1:71" ht="13.8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</row>
    <row r="300" spans="1:71" ht="13.8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</row>
    <row r="301" spans="1:71" ht="13.8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</row>
    <row r="302" spans="1:71" ht="13.8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</row>
    <row r="303" spans="1:71" ht="13.8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</row>
    <row r="304" spans="1:71" ht="13.8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</row>
    <row r="305" spans="1:71" ht="13.8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</row>
    <row r="306" spans="1:71" ht="13.8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</row>
    <row r="307" spans="1:71" ht="13.8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</row>
    <row r="308" spans="1:71" ht="13.8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</row>
    <row r="309" spans="1:71" ht="13.8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</row>
    <row r="310" spans="1:71" ht="13.8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</row>
    <row r="311" spans="1:71" ht="13.8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</row>
    <row r="312" spans="1:71" ht="13.8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</row>
    <row r="313" spans="1:71" ht="13.8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</row>
    <row r="314" spans="1:71" ht="13.8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</row>
    <row r="315" spans="1:71" ht="13.8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</row>
    <row r="316" spans="1:71" ht="13.8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</row>
    <row r="317" spans="1:71" ht="13.8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</row>
    <row r="318" spans="1:71" ht="13.8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</row>
    <row r="319" spans="1:71" ht="13.8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</row>
    <row r="320" spans="1:71" ht="13.8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</row>
    <row r="321" spans="1:71" ht="13.8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</row>
    <row r="322" spans="1:71" ht="13.8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</row>
    <row r="323" spans="1:71" ht="13.8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</row>
    <row r="324" spans="1:71" ht="13.8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</row>
    <row r="325" spans="1:71" ht="13.8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</row>
    <row r="326" spans="1:71" ht="13.8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</row>
    <row r="327" spans="1:71" ht="13.8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</row>
    <row r="328" spans="1:71" ht="13.8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</row>
    <row r="329" spans="1:71" ht="13.8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</row>
    <row r="330" spans="1:71" ht="13.8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</row>
    <row r="331" spans="1:71" ht="13.8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</row>
    <row r="332" spans="1:71" ht="13.8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</row>
    <row r="333" spans="1:71" ht="13.8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</row>
    <row r="334" spans="1:71" ht="13.8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</row>
    <row r="335" spans="1:71" ht="13.8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</row>
    <row r="336" spans="1:71" ht="13.8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</row>
    <row r="337" spans="1:71" ht="13.8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</row>
    <row r="338" spans="1:71" ht="13.8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</row>
    <row r="339" spans="1:71" ht="13.8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</row>
    <row r="340" spans="1:71" ht="13.8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</row>
    <row r="341" spans="1:71" ht="13.8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</row>
    <row r="342" spans="1:71" ht="13.8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</row>
    <row r="343" spans="1:71" ht="13.8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</row>
    <row r="344" spans="1:71" ht="13.8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</row>
    <row r="345" spans="1:71" ht="13.8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</row>
    <row r="346" spans="1:71" ht="13.8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</row>
    <row r="347" spans="1:71" ht="13.8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</row>
    <row r="348" spans="1:71" ht="13.8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</row>
    <row r="349" spans="1:71" ht="13.8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</row>
    <row r="350" spans="1:71" ht="13.8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</row>
    <row r="351" spans="1:71" ht="13.8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</row>
    <row r="352" spans="1:71" ht="13.8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</row>
    <row r="353" spans="1:71" ht="13.8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</row>
    <row r="354" spans="1:71" ht="13.8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</row>
    <row r="355" spans="1:71" ht="13.8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</row>
    <row r="356" spans="1:71" ht="13.8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</row>
    <row r="357" spans="1:71" ht="13.8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</row>
    <row r="358" spans="1:71" ht="13.8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</row>
    <row r="359" spans="1:71" ht="13.8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</row>
    <row r="360" spans="1:71" ht="13.8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</row>
    <row r="361" spans="1:71" ht="13.8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</row>
    <row r="362" spans="1:71" ht="13.8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</row>
    <row r="363" spans="1:71" ht="13.8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</row>
    <row r="364" spans="1:71" ht="13.8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</row>
    <row r="365" spans="1:71" ht="13.8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</row>
    <row r="366" spans="1:71" ht="13.8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</row>
    <row r="367" spans="1:71" ht="13.8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</row>
    <row r="368" spans="1:71" ht="13.8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</row>
    <row r="369" spans="1:71" ht="13.8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</row>
    <row r="370" spans="1:71" ht="13.8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</row>
    <row r="371" spans="1:71" ht="13.8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</row>
    <row r="372" spans="1:71" ht="13.8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</row>
    <row r="373" spans="1:71" ht="13.8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</row>
    <row r="374" spans="1:71" ht="13.8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</row>
    <row r="375" spans="1:71" ht="13.8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</row>
    <row r="376" spans="1:71" ht="13.8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</row>
    <row r="377" spans="1:71" ht="13.8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</row>
    <row r="378" spans="1:71" ht="13.8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</row>
    <row r="379" spans="1:71" ht="13.8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</row>
    <row r="380" spans="1:71" ht="13.8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</row>
    <row r="381" spans="1:71" ht="13.8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</row>
    <row r="382" spans="1:71" ht="13.8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</row>
    <row r="383" spans="1:71" ht="13.8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</row>
    <row r="384" spans="1:71" ht="13.8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</row>
    <row r="385" spans="1:71" ht="13.8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</row>
    <row r="386" spans="1:71" ht="13.8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</row>
    <row r="387" spans="1:71" ht="13.8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</row>
    <row r="388" spans="1:71" ht="13.8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</row>
    <row r="389" spans="1:71" ht="13.8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</row>
    <row r="390" spans="1:71" ht="13.8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</row>
    <row r="391" spans="1:71" ht="13.8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</row>
    <row r="392" spans="1:71" ht="13.8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</row>
    <row r="393" spans="1:71" ht="13.8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</row>
    <row r="394" spans="1:71" ht="13.8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</row>
    <row r="395" spans="1:71" ht="13.8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</row>
    <row r="396" spans="1:71" ht="13.8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</row>
    <row r="397" spans="1:71" ht="13.8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</row>
    <row r="398" spans="1:71" ht="13.8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</row>
    <row r="399" spans="1:71" ht="13.8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</row>
    <row r="400" spans="1:71" ht="13.8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</row>
    <row r="401" spans="1:71" ht="13.8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</row>
    <row r="402" spans="1:71" ht="13.8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</row>
    <row r="403" spans="1:71" ht="13.8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</row>
    <row r="404" spans="1:71" ht="13.8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</row>
    <row r="405" spans="1:71" ht="13.8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</row>
    <row r="406" spans="1:71" ht="13.8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</row>
    <row r="407" spans="1:71" ht="13.8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</row>
    <row r="408" spans="1:71" ht="13.8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</row>
    <row r="409" spans="1:71" ht="13.8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</row>
    <row r="410" spans="1:71" ht="13.8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</row>
    <row r="411" spans="1:71" ht="13.8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</row>
    <row r="412" spans="1:71" ht="13.8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</row>
    <row r="413" spans="1:71" ht="13.8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</row>
    <row r="414" spans="1:71" ht="13.8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</row>
    <row r="415" spans="1:71" ht="13.8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</row>
    <row r="416" spans="1:71" ht="13.8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</row>
    <row r="417" spans="1:71" ht="13.8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</row>
    <row r="418" spans="1:71" ht="13.8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</row>
    <row r="419" spans="1:71" ht="13.8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</row>
    <row r="420" spans="1:71" ht="13.8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</row>
    <row r="421" spans="1:71" ht="13.8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</row>
    <row r="422" spans="1:71" ht="13.8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</row>
    <row r="423" spans="1:71" ht="13.8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</row>
    <row r="424" spans="1:71" ht="13.8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</row>
    <row r="425" spans="1:71" ht="13.8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</row>
    <row r="426" spans="1:71" ht="13.8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</row>
    <row r="427" spans="1:71" ht="13.8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</row>
    <row r="428" spans="1:71" ht="13.8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</row>
    <row r="429" spans="1:71" ht="13.8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</row>
    <row r="430" spans="1:71" ht="13.8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</row>
    <row r="431" spans="1:71" ht="13.8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</row>
    <row r="432" spans="1:71" ht="13.8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</row>
    <row r="433" spans="1:71" ht="13.8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</row>
    <row r="434" spans="1:71" ht="13.8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</row>
    <row r="435" spans="1:71" ht="13.8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</row>
    <row r="436" spans="1:71" ht="13.8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</row>
    <row r="437" spans="1:71" ht="13.8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</row>
    <row r="438" spans="1:71" ht="13.8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</row>
    <row r="439" spans="1:71" ht="13.8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</row>
    <row r="440" spans="1:71" ht="13.8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</row>
    <row r="441" spans="1:71" ht="13.8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</row>
    <row r="442" spans="1:71" ht="13.8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</row>
    <row r="443" spans="1:71" ht="13.8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</row>
    <row r="444" spans="1:71" ht="13.8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</row>
    <row r="445" spans="1:71" ht="13.8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</row>
    <row r="446" spans="1:71" ht="13.8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</row>
    <row r="447" spans="1:71" ht="13.8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</row>
    <row r="448" spans="1:71" ht="13.8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</row>
    <row r="449" spans="1:71" ht="13.8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</row>
    <row r="450" spans="1:71" ht="13.8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</row>
    <row r="451" spans="1:71" ht="13.8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</row>
    <row r="452" spans="1:71" ht="13.8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</row>
    <row r="453" spans="1:71" ht="13.8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</row>
    <row r="454" spans="1:71" ht="13.8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</row>
    <row r="455" spans="1:71" ht="13.8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</row>
    <row r="456" spans="1:71" ht="13.8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</row>
    <row r="457" spans="1:71" ht="13.8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</row>
    <row r="458" spans="1:71" ht="13.8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</row>
    <row r="459" spans="1:71" ht="13.8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</row>
    <row r="460" spans="1:71" ht="13.8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</row>
    <row r="461" spans="1:71" ht="13.8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</row>
    <row r="462" spans="1:71" ht="13.8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</row>
    <row r="463" spans="1:71" ht="13.8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</row>
    <row r="464" spans="1:71" ht="13.8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</row>
    <row r="465" spans="1:71" ht="13.8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</row>
    <row r="466" spans="1:71" ht="13.8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</row>
    <row r="467" spans="1:71" ht="13.8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</row>
    <row r="468" spans="1:71" ht="13.8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</row>
    <row r="469" spans="1:71" ht="13.8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</row>
    <row r="470" spans="1:71" ht="13.8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</row>
    <row r="471" spans="1:71" ht="13.8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</row>
    <row r="472" spans="1:71" ht="13.8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</row>
    <row r="473" spans="1:71" ht="13.8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</row>
    <row r="474" spans="1:71" ht="13.8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</row>
    <row r="475" spans="1:71" ht="13.8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</row>
    <row r="476" spans="1:71" ht="13.8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</row>
    <row r="477" spans="1:71" ht="13.8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</row>
    <row r="478" spans="1:71" ht="13.8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</row>
    <row r="479" spans="1:71" ht="13.8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</row>
    <row r="480" spans="1:71" ht="13.8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</row>
    <row r="481" spans="1:71" ht="13.8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</row>
    <row r="482" spans="1:71" ht="13.8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</row>
    <row r="483" spans="1:71" ht="13.8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</row>
    <row r="484" spans="1:71" ht="13.8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</row>
    <row r="485" spans="1:71" ht="13.8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</row>
    <row r="486" spans="1:71" ht="13.8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</row>
    <row r="487" spans="1:71" ht="13.8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</row>
    <row r="488" spans="1:71" ht="13.8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</row>
    <row r="489" spans="1:71" ht="13.8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</row>
    <row r="490" spans="1:71" ht="13.8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</row>
    <row r="491" spans="1:71" ht="13.8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</row>
    <row r="492" spans="1:71" ht="13.8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</row>
    <row r="493" spans="1:71" ht="13.8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</row>
    <row r="494" spans="1:71" ht="13.8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</row>
    <row r="495" spans="1:71" ht="13.8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</row>
    <row r="496" spans="1:71" ht="13.8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</row>
    <row r="497" spans="1:71" ht="13.8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</row>
    <row r="498" spans="1:71" ht="13.8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</row>
    <row r="499" spans="1:71" ht="13.8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</row>
    <row r="500" spans="1:71" ht="13.8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</row>
    <row r="501" spans="1:71" ht="13.8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</row>
    <row r="502" spans="1:71" ht="13.8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</row>
    <row r="503" spans="1:71" ht="13.8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</row>
    <row r="504" spans="1:71" ht="13.8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</row>
    <row r="505" spans="1:71" ht="13.8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</row>
    <row r="506" spans="1:71" ht="13.8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</row>
    <row r="507" spans="1:71" ht="13.8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</row>
    <row r="508" spans="1:71" ht="13.8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</row>
    <row r="509" spans="1:71" ht="13.8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</row>
    <row r="510" spans="1:71" ht="13.8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</row>
    <row r="511" spans="1:71" ht="13.8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</row>
    <row r="512" spans="1:71" ht="13.8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</row>
    <row r="513" spans="1:71" ht="13.8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</row>
    <row r="514" spans="1:71" ht="13.8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</row>
    <row r="515" spans="1:71" ht="13.8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</row>
    <row r="516" spans="1:71" ht="13.8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</row>
    <row r="517" spans="1:71" ht="13.8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</row>
    <row r="518" spans="1:71" ht="13.8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</row>
    <row r="519" spans="1:71" ht="13.8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</row>
    <row r="520" spans="1:71" ht="13.8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</row>
    <row r="521" spans="1:71" ht="13.8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</row>
    <row r="522" spans="1:71" ht="13.8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</row>
    <row r="523" spans="1:71" ht="13.8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</row>
    <row r="524" spans="1:71" ht="13.8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</row>
    <row r="525" spans="1:71" ht="13.8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</row>
    <row r="526" spans="1:71" ht="13.8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</row>
    <row r="527" spans="1:71" ht="13.8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</row>
    <row r="528" spans="1:71" ht="13.8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</row>
    <row r="529" spans="1:71" ht="13.8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</row>
    <row r="530" spans="1:71" ht="13.8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</row>
    <row r="531" spans="1:71" ht="13.8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</row>
    <row r="532" spans="1:71" ht="13.8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</row>
    <row r="533" spans="1:71" ht="13.8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</row>
    <row r="534" spans="1:71" ht="13.8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</row>
    <row r="535" spans="1:71" ht="13.8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</row>
    <row r="536" spans="1:71" ht="13.8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</row>
    <row r="537" spans="1:71" ht="13.8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</row>
    <row r="538" spans="1:71" ht="13.8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</row>
    <row r="539" spans="1:71" ht="13.8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</row>
    <row r="540" spans="1:71" ht="13.8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</row>
    <row r="541" spans="1:71" ht="13.8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</row>
    <row r="542" spans="1:71" ht="13.8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</row>
    <row r="543" spans="1:71" ht="13.8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</row>
    <row r="544" spans="1:71" ht="13.8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</row>
    <row r="545" spans="1:71" ht="13.8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</row>
    <row r="546" spans="1:71" ht="13.8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</row>
    <row r="547" spans="1:71" ht="13.8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</row>
    <row r="548" spans="1:71" ht="13.8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</row>
    <row r="549" spans="1:71" ht="13.8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</row>
    <row r="550" spans="1:71" ht="13.8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</row>
    <row r="551" spans="1:71" ht="13.8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</row>
    <row r="552" spans="1:71" ht="13.8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</row>
    <row r="553" spans="1:71" ht="13.8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</row>
    <row r="554" spans="1:71" ht="13.8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</row>
    <row r="555" spans="1:71" ht="13.8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</row>
    <row r="556" spans="1:71" ht="13.8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</row>
    <row r="557" spans="1:71" ht="13.8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</row>
    <row r="558" spans="1:71" ht="13.8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</row>
    <row r="559" spans="1:71" ht="13.8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</row>
    <row r="560" spans="1:71" ht="13.8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</row>
    <row r="561" spans="1:71" ht="13.8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</row>
    <row r="562" spans="1:71" ht="13.8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</row>
    <row r="563" spans="1:71" ht="13.8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</row>
    <row r="564" spans="1:71" ht="13.8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</row>
    <row r="565" spans="1:71" ht="13.8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</row>
    <row r="566" spans="1:71" ht="13.8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</row>
    <row r="567" spans="1:71" ht="13.8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</row>
    <row r="568" spans="1:71" ht="13.8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</row>
    <row r="569" spans="1:71" ht="13.8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</row>
    <row r="570" spans="1:71" ht="13.8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</row>
    <row r="571" spans="1:71" ht="13.8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</row>
    <row r="572" spans="1:71" ht="13.8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</row>
    <row r="573" spans="1:71" ht="13.8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</row>
    <row r="574" spans="1:71" ht="13.8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</row>
    <row r="575" spans="1:71" ht="13.8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</row>
    <row r="576" spans="1:71" ht="13.8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</row>
    <row r="577" spans="1:71" ht="13.8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</row>
    <row r="578" spans="1:71" ht="13.8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</row>
    <row r="579" spans="1:71" ht="13.8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</row>
    <row r="580" spans="1:71" ht="13.8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</row>
    <row r="581" spans="1:71" ht="13.8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</row>
    <row r="582" spans="1:71" ht="13.8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</row>
    <row r="583" spans="1:71" ht="13.8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</row>
    <row r="584" spans="1:71" ht="13.8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</row>
    <row r="585" spans="1:71" ht="13.8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</row>
    <row r="586" spans="1:71" ht="13.8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</row>
    <row r="587" spans="1:71" ht="13.8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</row>
    <row r="588" spans="1:71" ht="13.8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</row>
    <row r="589" spans="1:71" ht="13.8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</row>
    <row r="590" spans="1:71" ht="13.8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</row>
    <row r="591" spans="1:71" ht="13.8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</row>
    <row r="592" spans="1:71" ht="13.8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</row>
    <row r="593" spans="1:71" ht="13.8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</row>
    <row r="594" spans="1:71" ht="13.8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</row>
    <row r="595" spans="1:71" ht="13.8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</row>
    <row r="596" spans="1:71" ht="13.8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</row>
    <row r="597" spans="1:71" ht="13.8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</row>
    <row r="598" spans="1:71" ht="13.8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</row>
    <row r="599" spans="1:71" ht="13.8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</row>
    <row r="600" spans="1:71" ht="13.8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</row>
    <row r="601" spans="1:71" ht="13.8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</row>
    <row r="602" spans="1:71" ht="13.8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</row>
    <row r="603" spans="1:71" ht="13.8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</row>
    <row r="604" spans="1:71" ht="13.8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</row>
    <row r="605" spans="1:71" ht="13.8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</row>
    <row r="606" spans="1:71" ht="13.8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</row>
    <row r="607" spans="1:71" ht="13.8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</row>
    <row r="608" spans="1:71" ht="13.8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</row>
    <row r="609" spans="1:71" ht="13.8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</row>
    <row r="610" spans="1:71" ht="13.8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</row>
    <row r="611" spans="1:71" ht="13.8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</row>
    <row r="612" spans="1:71" ht="13.8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</row>
    <row r="613" spans="1:71" ht="13.8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</row>
    <row r="614" spans="1:71" ht="13.8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</row>
    <row r="615" spans="1:71" ht="13.8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</row>
    <row r="616" spans="1:71" ht="13.8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</row>
    <row r="617" spans="1:71" ht="13.8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</row>
    <row r="618" spans="1:71" ht="13.8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</row>
    <row r="619" spans="1:71" ht="13.8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</row>
    <row r="620" spans="1:71" ht="13.8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</row>
    <row r="621" spans="1:71" ht="13.8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</row>
    <row r="622" spans="1:71" ht="13.8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</row>
    <row r="623" spans="1:71" ht="13.8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</row>
    <row r="624" spans="1:71" ht="13.8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</row>
    <row r="625" spans="1:71" ht="13.8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</row>
    <row r="626" spans="1:71" ht="13.8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</row>
    <row r="627" spans="1:71" ht="13.8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</row>
    <row r="628" spans="1:71" ht="13.8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</row>
    <row r="629" spans="1:71" ht="13.8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</row>
    <row r="630" spans="1:71" ht="13.8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</row>
    <row r="631" spans="1:71" ht="13.8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</row>
    <row r="632" spans="1:71" ht="13.8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</row>
    <row r="633" spans="1:71" ht="13.8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</row>
    <row r="634" spans="1:71" ht="13.8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</row>
    <row r="635" spans="1:71" ht="13.8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</row>
    <row r="636" spans="1:71" ht="13.8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</row>
    <row r="637" spans="1:71" ht="13.8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</row>
    <row r="638" spans="1:71" ht="13.8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</row>
    <row r="639" spans="1:71" ht="13.8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</row>
    <row r="640" spans="1:71" ht="13.8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</row>
    <row r="641" spans="1:71" ht="13.8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</row>
    <row r="642" spans="1:71" ht="13.8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</row>
    <row r="643" spans="1:71" ht="13.8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</row>
    <row r="644" spans="1:71" ht="13.8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</row>
    <row r="645" spans="1:71" ht="13.8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</row>
    <row r="646" spans="1:71" ht="13.8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</row>
    <row r="647" spans="1:71" ht="13.8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</row>
    <row r="648" spans="1:71" ht="13.8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</row>
    <row r="649" spans="1:71" ht="13.8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</row>
    <row r="650" spans="1:71" ht="13.8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</row>
    <row r="651" spans="1:71" ht="13.8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</row>
    <row r="652" spans="1:71" ht="13.8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</row>
    <row r="653" spans="1:71" ht="13.8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</row>
    <row r="654" spans="1:71" ht="13.8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</row>
    <row r="655" spans="1:71" ht="13.8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</row>
    <row r="656" spans="1:71" ht="13.8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</row>
    <row r="657" spans="1:71" ht="13.8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</row>
    <row r="658" spans="1:71" ht="13.8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</row>
    <row r="659" spans="1:71" ht="13.8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</row>
    <row r="660" spans="1:71" ht="13.8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</row>
    <row r="661" spans="1:71" ht="13.8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</row>
    <row r="662" spans="1:71" ht="13.8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</row>
    <row r="663" spans="1:71" ht="13.8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</row>
    <row r="664" spans="1:71" ht="13.8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</row>
    <row r="665" spans="1:71" ht="13.8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</row>
    <row r="666" spans="1:71" ht="13.8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</row>
    <row r="667" spans="1:71" ht="13.8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</row>
    <row r="668" spans="1:71" ht="13.8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</row>
    <row r="669" spans="1:71" ht="13.8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</row>
    <row r="670" spans="1:71" ht="13.8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</row>
    <row r="671" spans="1:71" ht="13.8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</row>
    <row r="672" spans="1:71" ht="13.8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</row>
    <row r="673" spans="1:71" ht="13.8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</row>
    <row r="674" spans="1:71" ht="13.8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</row>
    <row r="675" spans="1:71" ht="13.8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</row>
    <row r="676" spans="1:71" ht="13.8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</row>
    <row r="677" spans="1:71" ht="13.8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</row>
    <row r="678" spans="1:71" ht="13.8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</row>
    <row r="679" spans="1:71" ht="13.8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</row>
    <row r="680" spans="1:71" ht="13.8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</row>
    <row r="681" spans="1:71" ht="13.8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</row>
    <row r="682" spans="1:71" ht="13.8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</row>
    <row r="683" spans="1:71" ht="13.8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</row>
    <row r="684" spans="1:71" ht="13.8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</row>
    <row r="685" spans="1:71" ht="13.8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</row>
    <row r="686" spans="1:71" ht="13.8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</row>
    <row r="687" spans="1:71" ht="13.8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</row>
    <row r="688" spans="1:71" ht="13.8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</row>
    <row r="689" spans="1:71" ht="13.8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</row>
    <row r="690" spans="1:71" ht="13.8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</row>
    <row r="691" spans="1:71" ht="13.8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</row>
    <row r="692" spans="1:71" ht="13.8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</row>
    <row r="693" spans="1:71" ht="13.8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</row>
    <row r="694" spans="1:71" ht="13.8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</row>
    <row r="695" spans="1:71" ht="13.8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</row>
    <row r="696" spans="1:71" ht="13.8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</row>
    <row r="697" spans="1:71" ht="13.8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</row>
    <row r="698" spans="1:71" ht="13.8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</row>
    <row r="699" spans="1:71" ht="13.8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</row>
    <row r="700" spans="1:71" ht="13.8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</row>
    <row r="701" spans="1:71" ht="13.8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</row>
    <row r="702" spans="1:71" ht="13.8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</row>
    <row r="703" spans="1:71" ht="13.8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</row>
    <row r="704" spans="1:71" ht="13.8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</row>
    <row r="705" spans="1:71" ht="13.8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</row>
    <row r="706" spans="1:71" ht="13.8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</row>
    <row r="707" spans="1:71" ht="13.8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</row>
    <row r="708" spans="1:71" ht="13.8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</row>
    <row r="709" spans="1:71" ht="13.8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</row>
    <row r="710" spans="1:71" ht="13.8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</row>
    <row r="711" spans="1:71" ht="13.8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</row>
    <row r="712" spans="1:71" ht="13.8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</row>
    <row r="713" spans="1:71" ht="13.8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</row>
    <row r="714" spans="1:71" ht="13.8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</row>
    <row r="715" spans="1:71" ht="13.8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</row>
    <row r="716" spans="1:71" ht="13.8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</row>
    <row r="717" spans="1:71" ht="13.8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</row>
    <row r="718" spans="1:71" ht="13.8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</row>
    <row r="719" spans="1:71" ht="13.8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</row>
    <row r="720" spans="1:71" ht="13.8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</row>
    <row r="721" spans="1:71" ht="13.8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</row>
    <row r="722" spans="1:71" ht="13.8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</row>
    <row r="723" spans="1:71" ht="13.8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</row>
    <row r="724" spans="1:71" ht="13.8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</row>
    <row r="725" spans="1:71" ht="13.8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</row>
    <row r="726" spans="1:71" ht="13.8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</row>
    <row r="727" spans="1:71" ht="13.8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</row>
    <row r="728" spans="1:71" ht="13.8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</row>
    <row r="729" spans="1:71" ht="13.8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</row>
    <row r="730" spans="1:71" ht="13.8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</row>
    <row r="731" spans="1:71" ht="13.8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</row>
    <row r="732" spans="1:71" ht="13.8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</row>
    <row r="733" spans="1:71" ht="13.8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</row>
    <row r="734" spans="1:71" ht="13.8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</row>
    <row r="735" spans="1:71" ht="13.8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</row>
    <row r="736" spans="1:71" ht="13.8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</row>
    <row r="737" spans="1:71" ht="13.8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</row>
    <row r="738" spans="1:71" ht="13.8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</row>
    <row r="739" spans="1:71" ht="13.8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</row>
    <row r="740" spans="1:71" ht="13.8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</row>
    <row r="741" spans="1:71" ht="13.8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</row>
    <row r="742" spans="1:71" ht="13.8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</row>
    <row r="743" spans="1:71" ht="13.8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</row>
    <row r="744" spans="1:71" ht="13.8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</row>
    <row r="745" spans="1:71" ht="13.8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</row>
    <row r="746" spans="1:71" ht="13.8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</row>
    <row r="747" spans="1:71" ht="13.8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</row>
    <row r="748" spans="1:71" ht="13.8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</row>
    <row r="749" spans="1:71" ht="13.8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</row>
    <row r="750" spans="1:71" ht="13.8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</row>
    <row r="751" spans="1:71" ht="13.8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</row>
    <row r="752" spans="1:71" ht="13.8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</row>
    <row r="753" spans="1:71" ht="13.8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</row>
    <row r="754" spans="1:71" ht="13.8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</row>
    <row r="755" spans="1:71" ht="13.8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</row>
    <row r="756" spans="1:71" ht="13.8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</row>
    <row r="757" spans="1:71" ht="13.8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</row>
    <row r="758" spans="1:71" ht="13.8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</row>
    <row r="759" spans="1:71" ht="13.8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</row>
    <row r="760" spans="1:71" ht="13.8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</row>
    <row r="761" spans="1:71" ht="13.8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</row>
    <row r="762" spans="1:71" ht="13.8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</row>
    <row r="763" spans="1:71" ht="13.8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</row>
    <row r="764" spans="1:71" ht="13.8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</row>
    <row r="765" spans="1:71" ht="13.8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</row>
    <row r="766" spans="1:71" ht="13.8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</row>
    <row r="767" spans="1:71" ht="13.8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</row>
    <row r="768" spans="1:71" ht="13.8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</row>
    <row r="769" spans="1:71" ht="13.8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</row>
    <row r="770" spans="1:71" ht="13.8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</row>
    <row r="771" spans="1:71" ht="13.8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</row>
    <row r="772" spans="1:71" ht="13.8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</row>
    <row r="773" spans="1:71" ht="13.8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</row>
    <row r="774" spans="1:71" ht="13.8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</row>
    <row r="775" spans="1:71" ht="13.8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</row>
    <row r="776" spans="1:71" ht="13.8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</row>
    <row r="777" spans="1:71" ht="13.8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</row>
    <row r="778" spans="1:71" ht="13.8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</row>
    <row r="779" spans="1:71" ht="13.8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</row>
    <row r="780" spans="1:71" ht="13.8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</row>
    <row r="781" spans="1:71" ht="13.8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</row>
    <row r="782" spans="1:71" ht="13.8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</row>
    <row r="783" spans="1:71" ht="13.8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</row>
    <row r="784" spans="1:71" ht="13.8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</row>
    <row r="785" spans="1:71" ht="13.8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</row>
    <row r="786" spans="1:71" ht="13.8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</row>
    <row r="787" spans="1:71" ht="13.8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</row>
    <row r="788" spans="1:71" ht="13.8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</row>
    <row r="789" spans="1:71" ht="13.8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</row>
    <row r="790" spans="1:71" ht="13.8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</row>
    <row r="791" spans="1:71" ht="13.8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</row>
    <row r="792" spans="1:71" ht="13.8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</row>
    <row r="793" spans="1:71" ht="13.8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</row>
    <row r="794" spans="1:71" ht="13.8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</row>
    <row r="795" spans="1:71" ht="13.8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</row>
    <row r="796" spans="1:71" ht="13.8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</row>
    <row r="797" spans="1:71" ht="13.8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</row>
    <row r="798" spans="1:71" ht="13.8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</row>
    <row r="799" spans="1:71" ht="13.8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</row>
    <row r="800" spans="1:71" ht="13.8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</row>
    <row r="801" spans="1:71" ht="13.8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</row>
    <row r="802" spans="1:71" ht="13.8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</row>
    <row r="803" spans="1:71" ht="13.8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</row>
    <row r="804" spans="1:71" ht="13.8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</row>
    <row r="805" spans="1:71" ht="13.8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</row>
    <row r="806" spans="1:71" ht="13.8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</row>
    <row r="807" spans="1:71" ht="13.8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</row>
    <row r="808" spans="1:71" ht="13.8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</row>
    <row r="809" spans="1:71" ht="13.8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</row>
    <row r="810" spans="1:71" ht="13.8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</row>
    <row r="811" spans="1:71" ht="13.8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</row>
    <row r="812" spans="1:71" ht="13.8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</row>
    <row r="813" spans="1:71" ht="13.8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</row>
    <row r="814" spans="1:71" ht="13.8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</row>
    <row r="815" spans="1:71" ht="13.8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</row>
    <row r="816" spans="1:71" ht="13.8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</row>
    <row r="817" spans="1:71" ht="13.8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</row>
    <row r="818" spans="1:71" ht="13.8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</row>
    <row r="819" spans="1:71" ht="13.8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</row>
    <row r="820" spans="1:71" ht="13.8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</row>
    <row r="821" spans="1:71" ht="13.8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</row>
    <row r="822" spans="1:71" ht="13.8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</row>
    <row r="823" spans="1:71" ht="13.8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</row>
    <row r="824" spans="1:71" ht="13.8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</row>
    <row r="825" spans="1:71" ht="13.8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</row>
    <row r="826" spans="1:71" ht="13.8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</row>
    <row r="827" spans="1:71" ht="13.8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</row>
    <row r="828" spans="1:71" ht="13.8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</row>
    <row r="829" spans="1:71" ht="13.8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</row>
    <row r="830" spans="1:71" ht="13.8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</row>
    <row r="831" spans="1:71" ht="13.8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</row>
    <row r="832" spans="1:71" ht="13.8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</row>
    <row r="833" spans="1:71" ht="13.8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</row>
    <row r="834" spans="1:71" ht="13.8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</row>
    <row r="835" spans="1:71" ht="13.8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</row>
    <row r="836" spans="1:71" ht="13.8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</row>
    <row r="837" spans="1:71" ht="13.8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</row>
    <row r="838" spans="1:71" ht="13.8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</row>
    <row r="839" spans="1:71" ht="13.8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</row>
    <row r="840" spans="1:71" ht="13.8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</row>
    <row r="841" spans="1:71" ht="13.8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</row>
    <row r="842" spans="1:71" ht="13.8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</row>
    <row r="843" spans="1:71" ht="13.8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</row>
    <row r="844" spans="1:71" ht="13.8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</row>
    <row r="845" spans="1:71" ht="13.8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</row>
    <row r="846" spans="1:71" ht="13.8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</row>
    <row r="847" spans="1:71" ht="13.8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</row>
    <row r="848" spans="1:71" ht="13.8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</row>
    <row r="849" spans="1:71" ht="13.8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</row>
    <row r="850" spans="1:71" ht="13.8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</row>
    <row r="851" spans="1:71" ht="13.8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</row>
    <row r="852" spans="1:71" ht="13.8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</row>
    <row r="853" spans="1:71" ht="13.8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</row>
    <row r="854" spans="1:71" ht="13.8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</row>
    <row r="855" spans="1:71" ht="13.8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</row>
    <row r="856" spans="1:71" ht="13.8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</row>
    <row r="857" spans="1:71" ht="13.8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</row>
    <row r="858" spans="1:71" ht="13.8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</row>
    <row r="859" spans="1:71" ht="13.8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</row>
    <row r="860" spans="1:71" ht="13.8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</row>
    <row r="861" spans="1:71" ht="13.8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</row>
    <row r="862" spans="1:71" ht="13.8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</row>
    <row r="863" spans="1:71" ht="13.8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</row>
    <row r="864" spans="1:71" ht="13.8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</row>
    <row r="865" spans="1:71" ht="13.8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</row>
    <row r="866" spans="1:71" ht="13.8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</row>
    <row r="867" spans="1:71" ht="13.8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</row>
    <row r="868" spans="1:71" ht="13.8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</row>
    <row r="869" spans="1:71" ht="13.8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</row>
    <row r="870" spans="1:71" ht="13.8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</row>
    <row r="871" spans="1:71" ht="13.8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</row>
    <row r="872" spans="1:71" ht="13.8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</row>
    <row r="873" spans="1:71" ht="13.8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</row>
    <row r="874" spans="1:71" ht="13.8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</row>
    <row r="875" spans="1:71" ht="13.8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</row>
    <row r="876" spans="1:71" ht="13.8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</row>
    <row r="877" spans="1:71" ht="13.8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</row>
    <row r="878" spans="1:71" ht="13.8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</row>
    <row r="879" spans="1:71" ht="13.8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</row>
    <row r="880" spans="1:71" ht="13.8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</row>
    <row r="881" spans="1:71" ht="13.8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</row>
    <row r="882" spans="1:71" ht="13.8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</row>
    <row r="883" spans="1:71" ht="13.8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</row>
    <row r="884" spans="1:71" ht="13.8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</row>
    <row r="885" spans="1:71" ht="13.8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</row>
    <row r="886" spans="1:71" ht="13.8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</row>
    <row r="887" spans="1:71" ht="13.8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</row>
    <row r="888" spans="1:71" ht="13.8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</row>
    <row r="889" spans="1:71" ht="13.8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</row>
    <row r="890" spans="1:71" ht="13.8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</row>
    <row r="891" spans="1:71" ht="13.8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</row>
    <row r="892" spans="1:71" ht="13.8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</row>
    <row r="893" spans="1:71" ht="13.8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</row>
    <row r="894" spans="1:71" ht="13.8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</row>
    <row r="895" spans="1:71" ht="13.8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</row>
    <row r="896" spans="1:71" ht="13.8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</row>
    <row r="897" spans="1:71" ht="13.8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</row>
    <row r="898" spans="1:71" ht="13.8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</row>
    <row r="899" spans="1:71" ht="13.8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</row>
    <row r="900" spans="1:71" ht="13.8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</row>
    <row r="901" spans="1:71" ht="13.8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</row>
    <row r="902" spans="1:71" ht="13.8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</row>
    <row r="903" spans="1:71" ht="13.8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</row>
    <row r="904" spans="1:71" ht="13.8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</row>
    <row r="905" spans="1:71" ht="13.8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</row>
    <row r="906" spans="1:71" ht="13.8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</row>
    <row r="907" spans="1:71" ht="13.8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</row>
    <row r="908" spans="1:71" ht="13.8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</row>
    <row r="909" spans="1:71" ht="13.8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</row>
    <row r="910" spans="1:71" ht="13.8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</row>
    <row r="911" spans="1:71" ht="13.8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</row>
    <row r="912" spans="1:71" ht="13.8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</row>
    <row r="913" spans="1:71" ht="13.8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</row>
    <row r="914" spans="1:71" ht="13.8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</row>
    <row r="915" spans="1:71" ht="13.8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</row>
    <row r="916" spans="1:71" ht="13.8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</row>
    <row r="917" spans="1:71" ht="13.8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</row>
    <row r="918" spans="1:71" ht="13.8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</row>
    <row r="919" spans="1:71" ht="13.8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</row>
    <row r="920" spans="1:71" ht="13.8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</row>
    <row r="921" spans="1:71" ht="13.8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</row>
    <row r="922" spans="1:71" ht="13.8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</row>
    <row r="923" spans="1:71" ht="13.8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</row>
    <row r="924" spans="1:71" ht="13.8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</row>
    <row r="925" spans="1:71" ht="13.8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</row>
    <row r="926" spans="1:71" ht="13.8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</row>
    <row r="927" spans="1:71" ht="13.8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</row>
    <row r="928" spans="1:71" ht="13.8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</row>
    <row r="929" spans="1:71" ht="13.8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</row>
    <row r="930" spans="1:71" ht="13.8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</row>
    <row r="931" spans="1:71" ht="13.8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</row>
    <row r="932" spans="1:71" ht="13.8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</row>
    <row r="933" spans="1:71" ht="13.8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</row>
    <row r="934" spans="1:71" ht="13.8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</row>
    <row r="935" spans="1:71" ht="13.8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</row>
    <row r="936" spans="1:71" ht="13.8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</row>
    <row r="937" spans="1:71" ht="13.8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</row>
    <row r="938" spans="1:71" ht="13.8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</row>
    <row r="939" spans="1:71" ht="13.8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</row>
    <row r="940" spans="1:71" ht="13.8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</row>
    <row r="941" spans="1:71" ht="13.8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</row>
    <row r="942" spans="1:71" ht="13.8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</row>
    <row r="943" spans="1:71" ht="13.8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</row>
    <row r="944" spans="1:71" ht="13.8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</row>
    <row r="945" spans="1:71" ht="13.8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</row>
    <row r="946" spans="1:71" ht="13.8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</row>
    <row r="947" spans="1:71" ht="13.8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</row>
    <row r="948" spans="1:71" ht="13.8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</row>
    <row r="949" spans="1:71" ht="13.8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</row>
    <row r="950" spans="1:71" ht="13.8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</row>
    <row r="951" spans="1:71" ht="13.8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</row>
    <row r="952" spans="1:71" ht="13.8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</row>
    <row r="953" spans="1:71" ht="13.8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</row>
    <row r="954" spans="1:71" ht="13.8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</row>
    <row r="955" spans="1:71" ht="13.8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</row>
    <row r="956" spans="1:71" ht="13.8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</row>
    <row r="957" spans="1:71" ht="13.8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</row>
    <row r="958" spans="1:71" ht="13.8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</row>
    <row r="959" spans="1:71" ht="13.8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</row>
    <row r="960" spans="1:71" ht="13.8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</row>
    <row r="961" spans="1:71" ht="13.8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</row>
    <row r="962" spans="1:71" ht="13.8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</row>
    <row r="963" spans="1:71" ht="13.8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</row>
    <row r="964" spans="1:71" ht="13.8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</row>
    <row r="965" spans="1:71" ht="13.8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</row>
    <row r="966" spans="1:71" ht="13.8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</row>
    <row r="967" spans="1:71" ht="13.8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</row>
    <row r="968" spans="1:71" ht="13.8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</row>
    <row r="969" spans="1:71" ht="13.8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</row>
    <row r="970" spans="1:71" ht="13.8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</row>
    <row r="971" spans="1:71" ht="13.8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</row>
    <row r="972" spans="1:71" ht="13.8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</row>
    <row r="973" spans="1:71" ht="13.8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</row>
    <row r="974" spans="1:71" ht="13.8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</row>
    <row r="975" spans="1:71" ht="13.8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</row>
    <row r="976" spans="1:71" ht="13.8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</row>
    <row r="977" spans="1:71" ht="13.8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</row>
    <row r="978" spans="1:71" ht="13.8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</row>
    <row r="979" spans="1:71" ht="13.8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</row>
    <row r="980" spans="1:71" ht="13.8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</row>
    <row r="981" spans="1:71" ht="13.8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</row>
    <row r="982" spans="1:71" ht="13.8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</row>
    <row r="983" spans="1:71" ht="13.8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</row>
    <row r="984" spans="1:71" ht="13.8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</row>
    <row r="985" spans="1:71" ht="13.8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</row>
    <row r="986" spans="1:71" ht="13.8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</row>
    <row r="987" spans="1:71" ht="13.8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</row>
    <row r="988" spans="1:71" ht="13.8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</row>
    <row r="989" spans="1:71" ht="13.8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</row>
    <row r="990" spans="1:71" ht="13.8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M961"/>
  <sheetViews>
    <sheetView tabSelected="1" topLeftCell="B1" workbookViewId="0">
      <selection activeCell="F7" sqref="F7"/>
    </sheetView>
  </sheetViews>
  <sheetFormatPr defaultColWidth="12.6640625" defaultRowHeight="15.75" customHeight="1" x14ac:dyDescent="0.25"/>
  <cols>
    <col min="6" max="6" width="17.88671875" customWidth="1"/>
  </cols>
  <sheetData>
    <row r="1" spans="1:65" ht="15.75" customHeight="1" x14ac:dyDescent="0.3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7" t="s">
        <v>7</v>
      </c>
      <c r="I1" s="14" t="s">
        <v>19</v>
      </c>
      <c r="J1" s="14"/>
      <c r="K1" s="14" t="s">
        <v>20</v>
      </c>
      <c r="L1" s="14" t="s">
        <v>21</v>
      </c>
      <c r="M1" s="14" t="s">
        <v>22</v>
      </c>
      <c r="N1" s="14" t="s">
        <v>23</v>
      </c>
      <c r="O1" s="15" t="s">
        <v>24</v>
      </c>
      <c r="P1" s="14" t="s">
        <v>25</v>
      </c>
      <c r="Q1" s="14" t="s">
        <v>26</v>
      </c>
      <c r="R1" s="14" t="s">
        <v>27</v>
      </c>
      <c r="S1" s="14" t="s">
        <v>28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15.75" customHeight="1" x14ac:dyDescent="0.3">
      <c r="A2" s="8" t="s">
        <v>29</v>
      </c>
      <c r="B2" s="9">
        <v>44286</v>
      </c>
      <c r="C2" s="8" t="s">
        <v>13</v>
      </c>
      <c r="D2" s="10">
        <v>105000</v>
      </c>
      <c r="E2" s="10">
        <v>52500</v>
      </c>
      <c r="F2" s="10">
        <v>10030</v>
      </c>
      <c r="G2" s="10">
        <v>5840</v>
      </c>
      <c r="H2" s="11">
        <v>2821</v>
      </c>
      <c r="I2" s="17">
        <f t="shared" ref="I2:J9" si="0">IF(C3=C2, (D3 - D2) / D2, "")</f>
        <v>0.41714285714285715</v>
      </c>
      <c r="J2" s="17"/>
      <c r="K2" s="18">
        <f t="shared" ref="K2:K9" si="1">IF(C3=C2, (E3 - E2) / E2, "")</f>
        <v>0.45714285714285713</v>
      </c>
      <c r="L2" s="18">
        <f t="shared" ref="L2:L9" si="2">IF(C3=C2, (G3 - G2) / G2, "")</f>
        <v>0.76027397260273977</v>
      </c>
      <c r="M2" s="17">
        <f t="shared" ref="M2:M9" si="3">IF(C3=C2, (H3 - H2) / H2, "")</f>
        <v>0.4696915987238568</v>
      </c>
      <c r="N2" s="17">
        <f t="shared" ref="N2:N9" si="4">(D2-E2)/D2</f>
        <v>0.5</v>
      </c>
      <c r="O2" s="17">
        <f t="shared" ref="O2:O9" si="5">(D2-(E2+F2))/D2</f>
        <v>0.40447619047619049</v>
      </c>
      <c r="P2" s="17">
        <f t="shared" ref="P2:P9" si="6">(D2-(E2+F2+G2))/D2</f>
        <v>0.34885714285714287</v>
      </c>
      <c r="Q2" s="19">
        <f t="shared" ref="Q2:Q47" si="7">IF(AND(C3=C2, N2&lt;&gt;0, N2&lt;&gt;""), (N3 - N2) / N2, "")</f>
        <v>-2.8225806451612878E-2</v>
      </c>
      <c r="R2" s="19">
        <f t="shared" ref="R2:R47" si="8">IF(AND(C3=C2, O2&lt;&gt;0, O2&lt;&gt;""), (O3 - O2) / O2, "")</f>
        <v>-7.7436064926285526E-3</v>
      </c>
      <c r="S2" s="19">
        <f t="shared" ref="S2:S47" si="9">IF(AND(C3=C2, P2&lt;&gt;0, P2&lt;&gt;""), (P3 - P2) / P2, "")</f>
        <v>-4.7581305645821755E-2</v>
      </c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</row>
    <row r="3" spans="1:65" ht="15.75" customHeight="1" x14ac:dyDescent="0.3">
      <c r="A3" s="8" t="s">
        <v>30</v>
      </c>
      <c r="B3" s="9">
        <v>44377</v>
      </c>
      <c r="C3" s="8" t="s">
        <v>13</v>
      </c>
      <c r="D3" s="10">
        <v>148800</v>
      </c>
      <c r="E3" s="10">
        <v>76500</v>
      </c>
      <c r="F3" s="10">
        <v>12580</v>
      </c>
      <c r="G3" s="10">
        <v>10280</v>
      </c>
      <c r="H3" s="11">
        <v>4146</v>
      </c>
      <c r="I3" s="17">
        <f t="shared" si="0"/>
        <v>0.26545698924731181</v>
      </c>
      <c r="J3" s="19">
        <f>IF(AND(C3=C2, I3&lt;&gt;0, I3&lt;&gt;""), (I4 - I3) / I3, "")</f>
        <v>-0.735923687624784</v>
      </c>
      <c r="K3" s="18">
        <f t="shared" si="1"/>
        <v>0.2627450980392157</v>
      </c>
      <c r="L3" s="18">
        <f t="shared" si="2"/>
        <v>5.8365758754863814E-2</v>
      </c>
      <c r="M3" s="17">
        <f t="shared" si="3"/>
        <v>0.20429329474191993</v>
      </c>
      <c r="N3" s="17">
        <f t="shared" si="4"/>
        <v>0.48588709677419356</v>
      </c>
      <c r="O3" s="17">
        <f t="shared" si="5"/>
        <v>0.4013440860215054</v>
      </c>
      <c r="P3" s="17">
        <f t="shared" si="6"/>
        <v>0.33225806451612905</v>
      </c>
      <c r="Q3" s="19">
        <f t="shared" si="7"/>
        <v>2.2675037406099142E-3</v>
      </c>
      <c r="R3" s="19">
        <f t="shared" si="8"/>
        <v>6.2070508540648629E-4</v>
      </c>
      <c r="S3" s="19">
        <f t="shared" si="9"/>
        <v>3.4777183692620187E-2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  <row r="4" spans="1:65" ht="15.75" customHeight="1" x14ac:dyDescent="0.3">
      <c r="A4" s="8" t="s">
        <v>31</v>
      </c>
      <c r="B4" s="9">
        <v>44469</v>
      </c>
      <c r="C4" s="8" t="s">
        <v>13</v>
      </c>
      <c r="D4" s="10">
        <v>188300</v>
      </c>
      <c r="E4" s="10">
        <v>96600</v>
      </c>
      <c r="F4" s="10">
        <v>16080</v>
      </c>
      <c r="G4" s="10">
        <v>10880</v>
      </c>
      <c r="H4" s="11">
        <v>4993</v>
      </c>
      <c r="I4" s="17">
        <f t="shared" si="0"/>
        <v>7.0100902814657459E-2</v>
      </c>
      <c r="J4" s="19">
        <f t="shared" ref="J4:J47" si="10">IF(AND(C4=C3, I4&lt;&gt;0, I4&lt;&gt;""), (I5 - I4) / I4, "")</f>
        <v>-0.46195954583051352</v>
      </c>
      <c r="K4" s="18">
        <f t="shared" si="1"/>
        <v>5.4865424430641824E-2</v>
      </c>
      <c r="L4" s="18">
        <f t="shared" si="2"/>
        <v>4.595588235294118E-2</v>
      </c>
      <c r="M4" s="17">
        <f t="shared" si="3"/>
        <v>5.6879631484077708E-2</v>
      </c>
      <c r="N4" s="17">
        <f t="shared" si="4"/>
        <v>0.48698884758364314</v>
      </c>
      <c r="O4" s="17">
        <f t="shared" si="5"/>
        <v>0.40159320233669676</v>
      </c>
      <c r="P4" s="17">
        <f t="shared" si="6"/>
        <v>0.34381306425916092</v>
      </c>
      <c r="Q4" s="19">
        <f t="shared" si="7"/>
        <v>1.4998200519008223E-2</v>
      </c>
      <c r="R4" s="19">
        <f t="shared" si="8"/>
        <v>2.8657194815661105E-2</v>
      </c>
      <c r="S4" s="19">
        <f t="shared" si="9"/>
        <v>3.7265151462885261E-2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spans="1:65" ht="15.75" customHeight="1" x14ac:dyDescent="0.3">
      <c r="A5" s="8" t="s">
        <v>32</v>
      </c>
      <c r="B5" s="9">
        <v>44561</v>
      </c>
      <c r="C5" s="8" t="s">
        <v>13</v>
      </c>
      <c r="D5" s="10">
        <v>201500</v>
      </c>
      <c r="E5" s="10">
        <v>101900</v>
      </c>
      <c r="F5" s="10">
        <v>16360</v>
      </c>
      <c r="G5" s="10">
        <v>11380</v>
      </c>
      <c r="H5" s="11">
        <v>5277</v>
      </c>
      <c r="I5" s="17">
        <f t="shared" si="0"/>
        <v>3.7717121588089333E-2</v>
      </c>
      <c r="J5" s="19">
        <f t="shared" si="10"/>
        <v>-0.44209519494575755</v>
      </c>
      <c r="K5" s="18">
        <f t="shared" si="1"/>
        <v>5.2502453385672228E-2</v>
      </c>
      <c r="L5" s="18">
        <f t="shared" si="2"/>
        <v>-3.3391915641476276E-2</v>
      </c>
      <c r="M5" s="17">
        <f t="shared" si="3"/>
        <v>1.6486640136441161E-2</v>
      </c>
      <c r="N5" s="17">
        <f t="shared" si="4"/>
        <v>0.49429280397022335</v>
      </c>
      <c r="O5" s="17">
        <f t="shared" si="5"/>
        <v>0.41310173697270469</v>
      </c>
      <c r="P5" s="17">
        <f t="shared" si="6"/>
        <v>0.35662531017369725</v>
      </c>
      <c r="Q5" s="19">
        <f t="shared" si="7"/>
        <v>-1.4576959199783449E-2</v>
      </c>
      <c r="R5" s="19">
        <f t="shared" si="8"/>
        <v>-3.5304332818323222E-2</v>
      </c>
      <c r="S5" s="19">
        <f t="shared" si="9"/>
        <v>-3.0043472861506184E-2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5" ht="15.75" customHeight="1" x14ac:dyDescent="0.3">
      <c r="A6" s="8" t="s">
        <v>33</v>
      </c>
      <c r="B6" s="9">
        <v>44651</v>
      </c>
      <c r="C6" s="8" t="s">
        <v>13</v>
      </c>
      <c r="D6" s="10">
        <v>209100</v>
      </c>
      <c r="E6" s="10">
        <v>107250</v>
      </c>
      <c r="F6" s="10">
        <v>18520</v>
      </c>
      <c r="G6" s="10">
        <v>11000</v>
      </c>
      <c r="H6" s="11">
        <v>5364</v>
      </c>
      <c r="I6" s="17">
        <f t="shared" si="0"/>
        <v>2.1042563366810138E-2</v>
      </c>
      <c r="J6" s="19">
        <f t="shared" si="10"/>
        <v>4.0972855013838627</v>
      </c>
      <c r="K6" s="18">
        <f t="shared" si="1"/>
        <v>3.4965034965034968E-2</v>
      </c>
      <c r="L6" s="18">
        <f t="shared" si="2"/>
        <v>0.05</v>
      </c>
      <c r="M6" s="17">
        <f t="shared" si="3"/>
        <v>3.0574198359433258E-2</v>
      </c>
      <c r="N6" s="17">
        <f t="shared" si="4"/>
        <v>0.48708751793400284</v>
      </c>
      <c r="O6" s="17">
        <f t="shared" si="5"/>
        <v>0.3985174557627929</v>
      </c>
      <c r="P6" s="17">
        <f t="shared" si="6"/>
        <v>0.34591104734576755</v>
      </c>
      <c r="Q6" s="19">
        <f t="shared" si="7"/>
        <v>-1.4358489720038763E-2</v>
      </c>
      <c r="R6" s="19">
        <f t="shared" si="8"/>
        <v>-1.7200481930284145E-2</v>
      </c>
      <c r="S6" s="19">
        <f t="shared" si="9"/>
        <v>-2.4129453509820677E-2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</row>
    <row r="7" spans="1:65" ht="15.75" customHeight="1" x14ac:dyDescent="0.3">
      <c r="A7" s="8" t="s">
        <v>34</v>
      </c>
      <c r="B7" s="9">
        <v>44742</v>
      </c>
      <c r="C7" s="8" t="s">
        <v>13</v>
      </c>
      <c r="D7" s="10">
        <v>213500</v>
      </c>
      <c r="E7" s="10">
        <v>111000</v>
      </c>
      <c r="F7" s="10">
        <v>18880</v>
      </c>
      <c r="G7" s="10">
        <v>11550</v>
      </c>
      <c r="H7" s="11">
        <v>5528</v>
      </c>
      <c r="I7" s="17">
        <f t="shared" si="0"/>
        <v>0.10725995316159251</v>
      </c>
      <c r="J7" s="19">
        <f t="shared" si="10"/>
        <v>-0.78703477933189991</v>
      </c>
      <c r="K7" s="18">
        <f t="shared" si="1"/>
        <v>8.5585585585585586E-2</v>
      </c>
      <c r="L7" s="18">
        <f t="shared" si="2"/>
        <v>8.3116883116883117E-2</v>
      </c>
      <c r="M7" s="17">
        <f t="shared" si="3"/>
        <v>6.1143270622286541E-2</v>
      </c>
      <c r="N7" s="17">
        <f t="shared" si="4"/>
        <v>0.48009367681498827</v>
      </c>
      <c r="O7" s="17">
        <f t="shared" si="5"/>
        <v>0.39166276346604217</v>
      </c>
      <c r="P7" s="17">
        <f t="shared" si="6"/>
        <v>0.33756440281030448</v>
      </c>
      <c r="Q7" s="19">
        <f t="shared" si="7"/>
        <v>2.1198052082043745E-2</v>
      </c>
      <c r="R7" s="19">
        <f t="shared" si="8"/>
        <v>1.5778564378133113E-2</v>
      </c>
      <c r="S7" s="19">
        <f t="shared" si="9"/>
        <v>2.1801632507594468E-2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</row>
    <row r="8" spans="1:65" ht="15.75" customHeight="1" x14ac:dyDescent="0.3">
      <c r="A8" s="8" t="s">
        <v>35</v>
      </c>
      <c r="B8" s="9">
        <v>44834</v>
      </c>
      <c r="C8" s="8" t="s">
        <v>13</v>
      </c>
      <c r="D8" s="10">
        <v>236400</v>
      </c>
      <c r="E8" s="10">
        <v>120500</v>
      </c>
      <c r="F8" s="10">
        <v>21850</v>
      </c>
      <c r="G8" s="10">
        <v>12510</v>
      </c>
      <c r="H8" s="11">
        <v>5866</v>
      </c>
      <c r="I8" s="17">
        <f t="shared" si="0"/>
        <v>2.2842639593908629E-2</v>
      </c>
      <c r="J8" s="19"/>
      <c r="K8" s="18">
        <f t="shared" si="1"/>
        <v>2.4066390041493777E-2</v>
      </c>
      <c r="L8" s="18">
        <f t="shared" si="2"/>
        <v>2.0783373301358914E-2</v>
      </c>
      <c r="M8" s="17">
        <f t="shared" si="3"/>
        <v>1.2444595976815548E-2</v>
      </c>
      <c r="N8" s="17">
        <f t="shared" si="4"/>
        <v>0.49027072758037227</v>
      </c>
      <c r="O8" s="17">
        <f t="shared" si="5"/>
        <v>0.39784263959390864</v>
      </c>
      <c r="P8" s="17">
        <f t="shared" si="6"/>
        <v>0.34492385786802032</v>
      </c>
      <c r="Q8" s="19">
        <f t="shared" si="7"/>
        <v>-1.2439062510035891E-3</v>
      </c>
      <c r="R8" s="19">
        <f t="shared" si="8"/>
        <v>-9.3385203741740558E-3</v>
      </c>
      <c r="S8" s="19">
        <f t="shared" si="9"/>
        <v>-1.0462371069079069E-2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</row>
    <row r="9" spans="1:65" ht="15.75" customHeight="1" x14ac:dyDescent="0.3">
      <c r="A9" s="8" t="s">
        <v>36</v>
      </c>
      <c r="B9" s="9">
        <v>44926</v>
      </c>
      <c r="C9" s="8" t="s">
        <v>13</v>
      </c>
      <c r="D9" s="10">
        <v>241800</v>
      </c>
      <c r="E9" s="10">
        <v>123400</v>
      </c>
      <c r="F9" s="10">
        <v>23100</v>
      </c>
      <c r="G9" s="10">
        <v>12770</v>
      </c>
      <c r="H9" s="11">
        <v>5939</v>
      </c>
      <c r="I9" s="17" t="str">
        <f t="shared" si="0"/>
        <v/>
      </c>
      <c r="J9" s="19" t="str">
        <f t="shared" si="10"/>
        <v/>
      </c>
      <c r="K9" s="18" t="str">
        <f t="shared" si="1"/>
        <v/>
      </c>
      <c r="L9" s="18" t="str">
        <f t="shared" si="2"/>
        <v/>
      </c>
      <c r="M9" s="17" t="str">
        <f t="shared" si="3"/>
        <v/>
      </c>
      <c r="N9" s="17">
        <f t="shared" si="4"/>
        <v>0.48966087675765096</v>
      </c>
      <c r="O9" s="17">
        <f t="shared" si="5"/>
        <v>0.39412737799834574</v>
      </c>
      <c r="P9" s="17">
        <f t="shared" si="6"/>
        <v>0.34131513647642681</v>
      </c>
      <c r="Q9" s="16" t="str">
        <f t="shared" si="7"/>
        <v/>
      </c>
      <c r="R9" s="16" t="str">
        <f t="shared" si="8"/>
        <v/>
      </c>
      <c r="S9" s="16" t="str">
        <f t="shared" si="9"/>
        <v/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</row>
    <row r="10" spans="1:65" ht="15.75" customHeight="1" x14ac:dyDescent="0.3">
      <c r="A10" s="8" t="s">
        <v>29</v>
      </c>
      <c r="B10" s="9">
        <v>44286</v>
      </c>
      <c r="C10" s="8" t="s">
        <v>14</v>
      </c>
      <c r="D10" s="10">
        <v>0</v>
      </c>
      <c r="E10" s="10">
        <v>0</v>
      </c>
      <c r="F10" s="10">
        <v>0</v>
      </c>
      <c r="G10" s="10">
        <v>0</v>
      </c>
      <c r="H10" s="11">
        <v>0</v>
      </c>
      <c r="I10" s="17">
        <v>0</v>
      </c>
      <c r="J10" s="19" t="str">
        <f t="shared" si="10"/>
        <v/>
      </c>
      <c r="K10" s="18">
        <v>0</v>
      </c>
      <c r="L10" s="18">
        <v>0</v>
      </c>
      <c r="M10" s="17">
        <v>0</v>
      </c>
      <c r="N10" s="17">
        <v>0</v>
      </c>
      <c r="O10" s="17">
        <v>0</v>
      </c>
      <c r="P10" s="17">
        <v>0</v>
      </c>
      <c r="Q10" s="16" t="str">
        <f t="shared" si="7"/>
        <v/>
      </c>
      <c r="R10" s="16" t="str">
        <f t="shared" si="8"/>
        <v/>
      </c>
      <c r="S10" s="16" t="str">
        <f t="shared" si="9"/>
        <v/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</row>
    <row r="11" spans="1:65" ht="15.75" customHeight="1" x14ac:dyDescent="0.3">
      <c r="A11" s="8" t="s">
        <v>30</v>
      </c>
      <c r="B11" s="9">
        <v>44377</v>
      </c>
      <c r="C11" s="8" t="s">
        <v>14</v>
      </c>
      <c r="D11" s="10">
        <v>42700</v>
      </c>
      <c r="E11" s="10">
        <v>23000</v>
      </c>
      <c r="F11" s="10">
        <v>2950</v>
      </c>
      <c r="G11" s="10">
        <v>2380</v>
      </c>
      <c r="H11" s="11">
        <v>1200</v>
      </c>
      <c r="I11" s="17">
        <f t="shared" ref="I11:I47" si="11">IF(C12=C11, (D12 - D11) / D11, "")</f>
        <v>0</v>
      </c>
      <c r="J11" s="19" t="str">
        <f t="shared" si="10"/>
        <v/>
      </c>
      <c r="K11" s="18">
        <f t="shared" ref="K11:K47" si="12">IF(C12=C11, (E12 - E11) / E11, "")</f>
        <v>0</v>
      </c>
      <c r="L11" s="18">
        <f t="shared" ref="L11:L47" si="13">IF(C12=C11, (G12 - G11) / G11, "")</f>
        <v>0</v>
      </c>
      <c r="M11" s="17">
        <f t="shared" ref="M11:M47" si="14">IF(C12=C11, (H12 - H11) / H11, "")</f>
        <v>0</v>
      </c>
      <c r="N11" s="17">
        <f t="shared" ref="N11:N47" si="15">(D11-E11)/D11</f>
        <v>0.46135831381733022</v>
      </c>
      <c r="O11" s="17">
        <f t="shared" ref="O11:O47" si="16">(D11-(E11+F11))/D11</f>
        <v>0.39227166276346603</v>
      </c>
      <c r="P11" s="17">
        <f t="shared" ref="P11:P47" si="17">(D11-(E11+F11+G11))/D11</f>
        <v>0.33653395784543327</v>
      </c>
      <c r="Q11" s="19">
        <f t="shared" si="7"/>
        <v>0</v>
      </c>
      <c r="R11" s="19">
        <f t="shared" si="8"/>
        <v>0</v>
      </c>
      <c r="S11" s="19">
        <f t="shared" si="9"/>
        <v>0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</row>
    <row r="12" spans="1:65" ht="15.75" customHeight="1" x14ac:dyDescent="0.3">
      <c r="A12" s="8" t="s">
        <v>31</v>
      </c>
      <c r="B12" s="9">
        <v>44469</v>
      </c>
      <c r="C12" s="8" t="s">
        <v>14</v>
      </c>
      <c r="D12" s="10">
        <v>42700</v>
      </c>
      <c r="E12" s="10">
        <v>23000</v>
      </c>
      <c r="F12" s="10">
        <v>2950</v>
      </c>
      <c r="G12" s="10">
        <v>2380</v>
      </c>
      <c r="H12" s="11">
        <v>1200</v>
      </c>
      <c r="I12" s="17">
        <f t="shared" si="11"/>
        <v>1.405152224824356E-2</v>
      </c>
      <c r="J12" s="19">
        <f t="shared" si="10"/>
        <v>1.9584295612009235</v>
      </c>
      <c r="K12" s="18">
        <f t="shared" si="12"/>
        <v>-2.1739130434782608E-2</v>
      </c>
      <c r="L12" s="18">
        <f t="shared" si="13"/>
        <v>-0.12605042016806722</v>
      </c>
      <c r="M12" s="17">
        <f t="shared" si="14"/>
        <v>0</v>
      </c>
      <c r="N12" s="17">
        <f t="shared" si="15"/>
        <v>0.46135831381733022</v>
      </c>
      <c r="O12" s="17">
        <f t="shared" si="16"/>
        <v>0.39227166276346603</v>
      </c>
      <c r="P12" s="17">
        <f t="shared" si="17"/>
        <v>0.33653395784543327</v>
      </c>
      <c r="Q12" s="19">
        <f t="shared" si="7"/>
        <v>4.120701984736401E-2</v>
      </c>
      <c r="R12" s="19">
        <f t="shared" si="8"/>
        <v>5.0904829202716273E-2</v>
      </c>
      <c r="S12" s="19">
        <f t="shared" si="9"/>
        <v>8.221837578609531E-2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</row>
    <row r="13" spans="1:65" ht="15.75" customHeight="1" x14ac:dyDescent="0.3">
      <c r="A13" s="8" t="s">
        <v>32</v>
      </c>
      <c r="B13" s="9">
        <v>44561</v>
      </c>
      <c r="C13" s="8" t="s">
        <v>14</v>
      </c>
      <c r="D13" s="10">
        <v>43300</v>
      </c>
      <c r="E13" s="10">
        <v>22500</v>
      </c>
      <c r="F13" s="10">
        <v>2950</v>
      </c>
      <c r="G13" s="10">
        <v>2080</v>
      </c>
      <c r="H13" s="11">
        <v>1200</v>
      </c>
      <c r="I13" s="17">
        <f t="shared" si="11"/>
        <v>4.1570438799076209E-2</v>
      </c>
      <c r="J13" s="19">
        <f t="shared" si="10"/>
        <v>0.22677999507267804</v>
      </c>
      <c r="K13" s="18">
        <f t="shared" si="12"/>
        <v>1.5555555555555555E-2</v>
      </c>
      <c r="L13" s="18">
        <f t="shared" si="13"/>
        <v>0.28846153846153844</v>
      </c>
      <c r="M13" s="17">
        <f t="shared" si="14"/>
        <v>0</v>
      </c>
      <c r="N13" s="17">
        <f t="shared" si="15"/>
        <v>0.48036951501154734</v>
      </c>
      <c r="O13" s="17">
        <f t="shared" si="16"/>
        <v>0.41224018475750579</v>
      </c>
      <c r="P13" s="17">
        <f t="shared" si="17"/>
        <v>0.36420323325635107</v>
      </c>
      <c r="Q13" s="19">
        <f t="shared" si="7"/>
        <v>2.7017951560634489E-2</v>
      </c>
      <c r="R13" s="19">
        <f t="shared" si="8"/>
        <v>1.6564497195774054E-2</v>
      </c>
      <c r="S13" s="19">
        <f t="shared" si="9"/>
        <v>-1.2514991697446945E-2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</row>
    <row r="14" spans="1:65" ht="15.75" customHeight="1" x14ac:dyDescent="0.3">
      <c r="A14" s="8" t="s">
        <v>33</v>
      </c>
      <c r="B14" s="9">
        <v>44651</v>
      </c>
      <c r="C14" s="8" t="s">
        <v>14</v>
      </c>
      <c r="D14" s="10">
        <v>45100</v>
      </c>
      <c r="E14" s="10">
        <v>22850</v>
      </c>
      <c r="F14" s="10">
        <v>3350</v>
      </c>
      <c r="G14" s="10">
        <v>2680</v>
      </c>
      <c r="H14" s="11">
        <v>1200</v>
      </c>
      <c r="I14" s="17">
        <f t="shared" si="11"/>
        <v>5.0997782705099776E-2</v>
      </c>
      <c r="J14" s="19">
        <f t="shared" si="10"/>
        <v>1.0684278114107504</v>
      </c>
      <c r="K14" s="18">
        <f t="shared" si="12"/>
        <v>-2.1881838074398249E-3</v>
      </c>
      <c r="L14" s="18">
        <f t="shared" si="13"/>
        <v>0.14925373134328357</v>
      </c>
      <c r="M14" s="17">
        <f t="shared" si="14"/>
        <v>0.05</v>
      </c>
      <c r="N14" s="17">
        <f t="shared" si="15"/>
        <v>0.49334811529933481</v>
      </c>
      <c r="O14" s="17">
        <f t="shared" si="16"/>
        <v>0.41906873614190687</v>
      </c>
      <c r="P14" s="17">
        <f t="shared" si="17"/>
        <v>0.3596452328159645</v>
      </c>
      <c r="Q14" s="19">
        <f t="shared" si="7"/>
        <v>5.1969847816811243E-2</v>
      </c>
      <c r="R14" s="19">
        <f t="shared" si="8"/>
        <v>3.9576496327551204E-2</v>
      </c>
      <c r="S14" s="19">
        <f t="shared" si="9"/>
        <v>3.0668758161773613E-2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</row>
    <row r="15" spans="1:65" ht="15.75" customHeight="1" x14ac:dyDescent="0.3">
      <c r="A15" s="8" t="s">
        <v>34</v>
      </c>
      <c r="B15" s="9">
        <v>44742</v>
      </c>
      <c r="C15" s="8" t="s">
        <v>14</v>
      </c>
      <c r="D15" s="10">
        <v>47400</v>
      </c>
      <c r="E15" s="10">
        <v>22800</v>
      </c>
      <c r="F15" s="10">
        <v>3950</v>
      </c>
      <c r="G15" s="10">
        <v>3080</v>
      </c>
      <c r="H15" s="11">
        <v>1260</v>
      </c>
      <c r="I15" s="17">
        <f t="shared" si="11"/>
        <v>0.10548523206751055</v>
      </c>
      <c r="J15" s="19">
        <f t="shared" si="10"/>
        <v>-0.80099236641221383</v>
      </c>
      <c r="K15" s="18">
        <f t="shared" si="12"/>
        <v>0.13157894736842105</v>
      </c>
      <c r="L15" s="18">
        <f t="shared" si="13"/>
        <v>3.246753246753247E-3</v>
      </c>
      <c r="M15" s="17">
        <f t="shared" si="14"/>
        <v>3.1746031746031744E-2</v>
      </c>
      <c r="N15" s="17">
        <f t="shared" si="15"/>
        <v>0.51898734177215189</v>
      </c>
      <c r="O15" s="17">
        <f t="shared" si="16"/>
        <v>0.43565400843881857</v>
      </c>
      <c r="P15" s="17">
        <f t="shared" si="17"/>
        <v>0.37067510548523208</v>
      </c>
      <c r="Q15" s="19">
        <f t="shared" si="7"/>
        <v>-2.1876745485012058E-2</v>
      </c>
      <c r="R15" s="19">
        <f t="shared" si="8"/>
        <v>-1.6570245642570723E-2</v>
      </c>
      <c r="S15" s="19">
        <f t="shared" si="9"/>
        <v>-3.2628482797272935E-3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</row>
    <row r="16" spans="1:65" ht="15.75" customHeight="1" x14ac:dyDescent="0.3">
      <c r="A16" s="8" t="s">
        <v>35</v>
      </c>
      <c r="B16" s="9">
        <v>44834</v>
      </c>
      <c r="C16" s="8" t="s">
        <v>14</v>
      </c>
      <c r="D16" s="10">
        <v>52400</v>
      </c>
      <c r="E16" s="10">
        <v>25800</v>
      </c>
      <c r="F16" s="10">
        <v>4150</v>
      </c>
      <c r="G16" s="10">
        <v>3090</v>
      </c>
      <c r="H16" s="11">
        <v>1300</v>
      </c>
      <c r="I16" s="17">
        <f t="shared" si="11"/>
        <v>2.0992366412213741E-2</v>
      </c>
      <c r="J16" s="19"/>
      <c r="K16" s="18">
        <f t="shared" si="12"/>
        <v>7.7519379844961239E-3</v>
      </c>
      <c r="L16" s="18">
        <f t="shared" si="13"/>
        <v>3.2362459546925568E-3</v>
      </c>
      <c r="M16" s="17">
        <f t="shared" si="14"/>
        <v>-7.6923076923076927E-3</v>
      </c>
      <c r="N16" s="17">
        <f t="shared" si="15"/>
        <v>0.50763358778625955</v>
      </c>
      <c r="O16" s="17">
        <f t="shared" si="16"/>
        <v>0.42843511450381677</v>
      </c>
      <c r="P16" s="17">
        <f t="shared" si="17"/>
        <v>0.36946564885496186</v>
      </c>
      <c r="Q16" s="19">
        <f t="shared" si="7"/>
        <v>1.2578174407982442E-2</v>
      </c>
      <c r="R16" s="19">
        <f t="shared" si="8"/>
        <v>9.9785608725517852E-3</v>
      </c>
      <c r="S16" s="19">
        <f t="shared" si="9"/>
        <v>1.4346952962076075E-2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</row>
    <row r="17" spans="1:65" ht="15.75" customHeight="1" x14ac:dyDescent="0.3">
      <c r="A17" s="8" t="s">
        <v>36</v>
      </c>
      <c r="B17" s="9">
        <v>44926</v>
      </c>
      <c r="C17" s="8" t="s">
        <v>14</v>
      </c>
      <c r="D17" s="10">
        <v>53500</v>
      </c>
      <c r="E17" s="10">
        <v>26000</v>
      </c>
      <c r="F17" s="10">
        <v>4350</v>
      </c>
      <c r="G17" s="10">
        <v>3100</v>
      </c>
      <c r="H17" s="11">
        <v>1290</v>
      </c>
      <c r="I17" s="17" t="str">
        <f t="shared" si="11"/>
        <v/>
      </c>
      <c r="J17" s="19" t="str">
        <f t="shared" si="10"/>
        <v/>
      </c>
      <c r="K17" s="18" t="str">
        <f t="shared" si="12"/>
        <v/>
      </c>
      <c r="L17" s="18" t="str">
        <f t="shared" si="13"/>
        <v/>
      </c>
      <c r="M17" s="17" t="str">
        <f t="shared" si="14"/>
        <v/>
      </c>
      <c r="N17" s="17">
        <f t="shared" si="15"/>
        <v>0.51401869158878499</v>
      </c>
      <c r="O17" s="17">
        <f t="shared" si="16"/>
        <v>0.4327102803738318</v>
      </c>
      <c r="P17" s="17">
        <f t="shared" si="17"/>
        <v>0.37476635514018691</v>
      </c>
      <c r="Q17" s="16" t="str">
        <f t="shared" si="7"/>
        <v/>
      </c>
      <c r="R17" s="16" t="str">
        <f t="shared" si="8"/>
        <v/>
      </c>
      <c r="S17" s="16" t="str">
        <f t="shared" si="9"/>
        <v/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</row>
    <row r="18" spans="1:65" ht="15.75" customHeight="1" x14ac:dyDescent="0.3">
      <c r="A18" s="8" t="s">
        <v>29</v>
      </c>
      <c r="B18" s="9">
        <v>44286</v>
      </c>
      <c r="C18" s="8" t="s">
        <v>15</v>
      </c>
      <c r="D18" s="10">
        <v>42000</v>
      </c>
      <c r="E18" s="10">
        <v>20500</v>
      </c>
      <c r="F18" s="10">
        <v>4480</v>
      </c>
      <c r="G18" s="10">
        <v>2000</v>
      </c>
      <c r="H18" s="11">
        <v>1067</v>
      </c>
      <c r="I18" s="17">
        <f t="shared" si="11"/>
        <v>-9.5238095238095233E-2</v>
      </c>
      <c r="J18" s="19" t="str">
        <f t="shared" si="10"/>
        <v/>
      </c>
      <c r="K18" s="18">
        <f t="shared" si="12"/>
        <v>-0.12195121951219512</v>
      </c>
      <c r="L18" s="18">
        <f t="shared" si="13"/>
        <v>0.55000000000000004</v>
      </c>
      <c r="M18" s="17">
        <f t="shared" si="14"/>
        <v>3.9362699156513588E-2</v>
      </c>
      <c r="N18" s="17">
        <f t="shared" si="15"/>
        <v>0.51190476190476186</v>
      </c>
      <c r="O18" s="17">
        <f t="shared" si="16"/>
        <v>0.40523809523809523</v>
      </c>
      <c r="P18" s="17">
        <f t="shared" si="17"/>
        <v>0.35761904761904761</v>
      </c>
      <c r="Q18" s="19">
        <f t="shared" si="7"/>
        <v>2.8151774785801741E-2</v>
      </c>
      <c r="R18" s="19">
        <f t="shared" si="8"/>
        <v>-2.5913785639186063E-2</v>
      </c>
      <c r="S18" s="19">
        <f t="shared" si="9"/>
        <v>-0.12432546078912333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</row>
    <row r="19" spans="1:65" ht="15.75" customHeight="1" x14ac:dyDescent="0.3">
      <c r="A19" s="8" t="s">
        <v>30</v>
      </c>
      <c r="B19" s="9">
        <v>44377</v>
      </c>
      <c r="C19" s="8" t="s">
        <v>15</v>
      </c>
      <c r="D19" s="10">
        <v>38000</v>
      </c>
      <c r="E19" s="10">
        <v>18000</v>
      </c>
      <c r="F19" s="10">
        <v>5000</v>
      </c>
      <c r="G19" s="10">
        <v>3100</v>
      </c>
      <c r="H19" s="11">
        <v>1109</v>
      </c>
      <c r="I19" s="17">
        <f t="shared" si="11"/>
        <v>0.18421052631578946</v>
      </c>
      <c r="J19" s="19">
        <f t="shared" si="10"/>
        <v>-0.5174603174603174</v>
      </c>
      <c r="K19" s="18">
        <f t="shared" si="12"/>
        <v>0.28333333333333333</v>
      </c>
      <c r="L19" s="18">
        <f t="shared" si="13"/>
        <v>-0.32258064516129031</v>
      </c>
      <c r="M19" s="17">
        <f t="shared" si="14"/>
        <v>0.11361587015329125</v>
      </c>
      <c r="N19" s="17">
        <f t="shared" si="15"/>
        <v>0.52631578947368418</v>
      </c>
      <c r="O19" s="17">
        <f t="shared" si="16"/>
        <v>0.39473684210526316</v>
      </c>
      <c r="P19" s="17">
        <f t="shared" si="17"/>
        <v>0.31315789473684208</v>
      </c>
      <c r="Q19" s="19">
        <f t="shared" si="7"/>
        <v>-7.5333333333333238E-2</v>
      </c>
      <c r="R19" s="19">
        <f t="shared" si="8"/>
        <v>1.3333333333333374E-2</v>
      </c>
      <c r="S19" s="19">
        <f t="shared" si="9"/>
        <v>0.12829131652661074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</row>
    <row r="20" spans="1:65" ht="15.75" customHeight="1" x14ac:dyDescent="0.3">
      <c r="A20" s="8" t="s">
        <v>31</v>
      </c>
      <c r="B20" s="9">
        <v>44469</v>
      </c>
      <c r="C20" s="8" t="s">
        <v>15</v>
      </c>
      <c r="D20" s="10">
        <v>45000</v>
      </c>
      <c r="E20" s="10">
        <v>23100</v>
      </c>
      <c r="F20" s="10">
        <v>3900</v>
      </c>
      <c r="G20" s="10">
        <v>2100</v>
      </c>
      <c r="H20" s="11">
        <v>1235</v>
      </c>
      <c r="I20" s="17">
        <f t="shared" si="11"/>
        <v>8.8888888888888892E-2</v>
      </c>
      <c r="J20" s="19">
        <f t="shared" si="10"/>
        <v>-0.77040816326530615</v>
      </c>
      <c r="K20" s="18">
        <f t="shared" si="12"/>
        <v>6.0606060606060608E-2</v>
      </c>
      <c r="L20" s="18">
        <f t="shared" si="13"/>
        <v>0.45238095238095238</v>
      </c>
      <c r="M20" s="17">
        <f t="shared" si="14"/>
        <v>-6.4777327935222669E-3</v>
      </c>
      <c r="N20" s="17">
        <f t="shared" si="15"/>
        <v>0.48666666666666669</v>
      </c>
      <c r="O20" s="17">
        <f t="shared" si="16"/>
        <v>0.4</v>
      </c>
      <c r="P20" s="17">
        <f t="shared" si="17"/>
        <v>0.35333333333333333</v>
      </c>
      <c r="Q20" s="19">
        <f t="shared" si="7"/>
        <v>2.7397260273972549E-2</v>
      </c>
      <c r="R20" s="19">
        <f t="shared" si="8"/>
        <v>3.4183673469387749E-2</v>
      </c>
      <c r="S20" s="19">
        <f t="shared" si="9"/>
        <v>-5.3908355795148372E-3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</row>
    <row r="21" spans="1:65" ht="15.75" customHeight="1" x14ac:dyDescent="0.3">
      <c r="A21" s="8" t="s">
        <v>32</v>
      </c>
      <c r="B21" s="9">
        <v>44561</v>
      </c>
      <c r="C21" s="8" t="s">
        <v>15</v>
      </c>
      <c r="D21" s="10">
        <v>49000</v>
      </c>
      <c r="E21" s="10">
        <v>24500</v>
      </c>
      <c r="F21" s="10">
        <v>4230</v>
      </c>
      <c r="G21" s="10">
        <v>3050</v>
      </c>
      <c r="H21" s="11">
        <v>1227</v>
      </c>
      <c r="I21" s="17">
        <f t="shared" si="11"/>
        <v>2.0408163265306121E-2</v>
      </c>
      <c r="J21" s="19">
        <f t="shared" si="10"/>
        <v>-1</v>
      </c>
      <c r="K21" s="18">
        <f t="shared" si="12"/>
        <v>0.10204081632653061</v>
      </c>
      <c r="L21" s="18">
        <f t="shared" si="13"/>
        <v>-0.67213114754098358</v>
      </c>
      <c r="M21" s="17">
        <f t="shared" si="14"/>
        <v>-8.1499592502037484E-3</v>
      </c>
      <c r="N21" s="17">
        <f t="shared" si="15"/>
        <v>0.5</v>
      </c>
      <c r="O21" s="17">
        <f t="shared" si="16"/>
        <v>0.41367346938775512</v>
      </c>
      <c r="P21" s="17">
        <f t="shared" si="17"/>
        <v>0.35142857142857142</v>
      </c>
      <c r="Q21" s="19">
        <f t="shared" si="7"/>
        <v>-7.999999999999996E-2</v>
      </c>
      <c r="R21" s="19">
        <f t="shared" si="8"/>
        <v>-0.11427725703009377</v>
      </c>
      <c r="S21" s="19">
        <f t="shared" si="9"/>
        <v>-1.430894308943092E-2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</row>
    <row r="22" spans="1:65" ht="15.75" customHeight="1" x14ac:dyDescent="0.3">
      <c r="A22" s="8" t="s">
        <v>33</v>
      </c>
      <c r="B22" s="9">
        <v>44651</v>
      </c>
      <c r="C22" s="8" t="s">
        <v>15</v>
      </c>
      <c r="D22" s="10">
        <v>50000</v>
      </c>
      <c r="E22" s="10">
        <v>27000</v>
      </c>
      <c r="F22" s="10">
        <v>4680</v>
      </c>
      <c r="G22" s="10">
        <v>1000</v>
      </c>
      <c r="H22" s="11">
        <v>1217</v>
      </c>
      <c r="I22" s="17">
        <f t="shared" si="11"/>
        <v>0</v>
      </c>
      <c r="J22" s="19" t="str">
        <f t="shared" si="10"/>
        <v/>
      </c>
      <c r="K22" s="18">
        <f t="shared" si="12"/>
        <v>0.12962962962962962</v>
      </c>
      <c r="L22" s="18">
        <f t="shared" si="13"/>
        <v>0</v>
      </c>
      <c r="M22" s="17">
        <f t="shared" si="14"/>
        <v>4.1906327033689399E-2</v>
      </c>
      <c r="N22" s="17">
        <f t="shared" si="15"/>
        <v>0.46</v>
      </c>
      <c r="O22" s="17">
        <f t="shared" si="16"/>
        <v>0.3664</v>
      </c>
      <c r="P22" s="17">
        <f t="shared" si="17"/>
        <v>0.34639999999999999</v>
      </c>
      <c r="Q22" s="19">
        <f t="shared" si="7"/>
        <v>-0.15217391304347827</v>
      </c>
      <c r="R22" s="19">
        <f t="shared" si="8"/>
        <v>-0.15393013100436684</v>
      </c>
      <c r="S22" s="19">
        <f t="shared" si="9"/>
        <v>-0.16281755196304853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</row>
    <row r="23" spans="1:65" ht="15.75" customHeight="1" x14ac:dyDescent="0.3">
      <c r="A23" s="8" t="s">
        <v>34</v>
      </c>
      <c r="B23" s="9">
        <v>44742</v>
      </c>
      <c r="C23" s="8" t="s">
        <v>15</v>
      </c>
      <c r="D23" s="10">
        <v>50000</v>
      </c>
      <c r="E23" s="10">
        <v>30500</v>
      </c>
      <c r="F23" s="10">
        <v>4000</v>
      </c>
      <c r="G23" s="10">
        <v>1000</v>
      </c>
      <c r="H23" s="11">
        <v>1268</v>
      </c>
      <c r="I23" s="17">
        <f t="shared" si="11"/>
        <v>0.01</v>
      </c>
      <c r="J23" s="19">
        <f t="shared" si="10"/>
        <v>-9.9009900990099098E-3</v>
      </c>
      <c r="K23" s="18">
        <f t="shared" si="12"/>
        <v>-1.6393442622950821E-2</v>
      </c>
      <c r="L23" s="18">
        <f t="shared" si="13"/>
        <v>0.05</v>
      </c>
      <c r="M23" s="17">
        <f t="shared" si="14"/>
        <v>9.4637223974763408E-3</v>
      </c>
      <c r="N23" s="17">
        <f t="shared" si="15"/>
        <v>0.39</v>
      </c>
      <c r="O23" s="17">
        <f t="shared" si="16"/>
        <v>0.31</v>
      </c>
      <c r="P23" s="17">
        <f t="shared" si="17"/>
        <v>0.28999999999999998</v>
      </c>
      <c r="Q23" s="19">
        <f t="shared" si="7"/>
        <v>4.0873318101040911E-2</v>
      </c>
      <c r="R23" s="19">
        <f t="shared" si="8"/>
        <v>2.8425423187480064E-2</v>
      </c>
      <c r="S23" s="19">
        <f t="shared" si="9"/>
        <v>2.7654489586889749E-2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</row>
    <row r="24" spans="1:65" ht="15.75" customHeight="1" x14ac:dyDescent="0.3">
      <c r="A24" s="8" t="s">
        <v>35</v>
      </c>
      <c r="B24" s="9">
        <v>44834</v>
      </c>
      <c r="C24" s="8" t="s">
        <v>15</v>
      </c>
      <c r="D24" s="10">
        <v>50500</v>
      </c>
      <c r="E24" s="10">
        <v>30000</v>
      </c>
      <c r="F24" s="10">
        <v>4400</v>
      </c>
      <c r="G24" s="10">
        <v>1050</v>
      </c>
      <c r="H24" s="11">
        <v>1280</v>
      </c>
      <c r="I24" s="17">
        <f t="shared" si="11"/>
        <v>9.9009900990099011E-3</v>
      </c>
      <c r="J24" s="19"/>
      <c r="K24" s="18">
        <f t="shared" si="12"/>
        <v>1.6666666666666666E-2</v>
      </c>
      <c r="L24" s="18">
        <f t="shared" si="13"/>
        <v>0.14285714285714285</v>
      </c>
      <c r="M24" s="17">
        <f t="shared" si="14"/>
        <v>-2.2656249999999999E-2</v>
      </c>
      <c r="N24" s="17">
        <f t="shared" si="15"/>
        <v>0.40594059405940597</v>
      </c>
      <c r="O24" s="17">
        <f t="shared" si="16"/>
        <v>0.31881188118811882</v>
      </c>
      <c r="P24" s="17">
        <f t="shared" si="17"/>
        <v>0.29801980198019801</v>
      </c>
      <c r="Q24" s="19">
        <f t="shared" si="7"/>
        <v>-9.8039215686274803E-3</v>
      </c>
      <c r="R24" s="19">
        <f t="shared" si="8"/>
        <v>-3.6536353671904292E-3</v>
      </c>
      <c r="S24" s="19">
        <f t="shared" si="9"/>
        <v>-1.3093609536837915E-2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</row>
    <row r="25" spans="1:65" ht="15.75" customHeight="1" x14ac:dyDescent="0.3">
      <c r="A25" s="8" t="s">
        <v>36</v>
      </c>
      <c r="B25" s="9">
        <v>44926</v>
      </c>
      <c r="C25" s="8" t="s">
        <v>15</v>
      </c>
      <c r="D25" s="10">
        <v>51000</v>
      </c>
      <c r="E25" s="10">
        <v>30500</v>
      </c>
      <c r="F25" s="10">
        <v>4300</v>
      </c>
      <c r="G25" s="10">
        <v>1200</v>
      </c>
      <c r="H25" s="11">
        <v>1251</v>
      </c>
      <c r="I25" s="17" t="str">
        <f t="shared" si="11"/>
        <v/>
      </c>
      <c r="J25" s="19" t="str">
        <f t="shared" si="10"/>
        <v/>
      </c>
      <c r="K25" s="18" t="str">
        <f t="shared" si="12"/>
        <v/>
      </c>
      <c r="L25" s="18" t="str">
        <f t="shared" si="13"/>
        <v/>
      </c>
      <c r="M25" s="17" t="str">
        <f t="shared" si="14"/>
        <v/>
      </c>
      <c r="N25" s="17">
        <f t="shared" si="15"/>
        <v>0.40196078431372551</v>
      </c>
      <c r="O25" s="17">
        <f t="shared" si="16"/>
        <v>0.31764705882352939</v>
      </c>
      <c r="P25" s="17">
        <f t="shared" si="17"/>
        <v>0.29411764705882354</v>
      </c>
      <c r="Q25" s="16" t="str">
        <f t="shared" si="7"/>
        <v/>
      </c>
      <c r="R25" s="16" t="str">
        <f t="shared" si="8"/>
        <v/>
      </c>
      <c r="S25" s="16" t="str">
        <f t="shared" si="9"/>
        <v/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</row>
    <row r="26" spans="1:65" ht="15.75" customHeight="1" x14ac:dyDescent="0.3">
      <c r="A26" s="8" t="s">
        <v>31</v>
      </c>
      <c r="B26" s="9">
        <v>44469</v>
      </c>
      <c r="C26" s="8" t="s">
        <v>16</v>
      </c>
      <c r="D26" s="10">
        <v>17500</v>
      </c>
      <c r="E26" s="10">
        <v>8800</v>
      </c>
      <c r="F26" s="10">
        <v>2000</v>
      </c>
      <c r="G26" s="10">
        <v>900</v>
      </c>
      <c r="H26" s="11">
        <v>447</v>
      </c>
      <c r="I26" s="17">
        <f t="shared" si="11"/>
        <v>0.31428571428571428</v>
      </c>
      <c r="J26" s="19" t="str">
        <f t="shared" si="10"/>
        <v/>
      </c>
      <c r="K26" s="18">
        <f t="shared" si="12"/>
        <v>0.23863636363636365</v>
      </c>
      <c r="L26" s="18">
        <f t="shared" si="13"/>
        <v>0.61111111111111116</v>
      </c>
      <c r="M26" s="17">
        <f t="shared" si="14"/>
        <v>0.34675615212527966</v>
      </c>
      <c r="N26" s="17">
        <f t="shared" si="15"/>
        <v>0.49714285714285716</v>
      </c>
      <c r="O26" s="17">
        <f t="shared" si="16"/>
        <v>0.38285714285714284</v>
      </c>
      <c r="P26" s="17">
        <f t="shared" si="17"/>
        <v>0.33142857142857141</v>
      </c>
      <c r="Q26" s="19">
        <f t="shared" si="7"/>
        <v>5.8220889555222262E-2</v>
      </c>
      <c r="R26" s="19">
        <f t="shared" si="8"/>
        <v>6.1810512654120707E-2</v>
      </c>
      <c r="S26" s="19">
        <f t="shared" si="9"/>
        <v>3.6356821589205515E-2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</row>
    <row r="27" spans="1:65" ht="15.75" customHeight="1" x14ac:dyDescent="0.3">
      <c r="A27" s="8" t="s">
        <v>32</v>
      </c>
      <c r="B27" s="9">
        <v>44561</v>
      </c>
      <c r="C27" s="8" t="s">
        <v>16</v>
      </c>
      <c r="D27" s="10">
        <v>23000</v>
      </c>
      <c r="E27" s="10">
        <v>10900</v>
      </c>
      <c r="F27" s="10">
        <v>2750</v>
      </c>
      <c r="G27" s="10">
        <v>1450</v>
      </c>
      <c r="H27" s="11">
        <v>602</v>
      </c>
      <c r="I27" s="17">
        <f t="shared" si="11"/>
        <v>8.6956521739130432E-2</v>
      </c>
      <c r="J27" s="19">
        <f t="shared" si="10"/>
        <v>-0.76999999999999991</v>
      </c>
      <c r="K27" s="18">
        <f t="shared" si="12"/>
        <v>0.20183486238532111</v>
      </c>
      <c r="L27" s="18">
        <f t="shared" si="13"/>
        <v>-0.17241379310344829</v>
      </c>
      <c r="M27" s="17">
        <f t="shared" si="14"/>
        <v>0.12458471760797342</v>
      </c>
      <c r="N27" s="17">
        <f t="shared" si="15"/>
        <v>0.52608695652173909</v>
      </c>
      <c r="O27" s="17">
        <f t="shared" si="16"/>
        <v>0.40652173913043477</v>
      </c>
      <c r="P27" s="17">
        <f t="shared" si="17"/>
        <v>0.34347826086956523</v>
      </c>
      <c r="Q27" s="19">
        <f t="shared" si="7"/>
        <v>-9.5206611570247901E-2</v>
      </c>
      <c r="R27" s="19">
        <f t="shared" si="8"/>
        <v>-0.10459893048128341</v>
      </c>
      <c r="S27" s="19">
        <f t="shared" si="9"/>
        <v>-8.0000000000000029E-2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</row>
    <row r="28" spans="1:65" ht="13.8" x14ac:dyDescent="0.3">
      <c r="A28" s="8" t="s">
        <v>33</v>
      </c>
      <c r="B28" s="9">
        <v>44651</v>
      </c>
      <c r="C28" s="8" t="s">
        <v>16</v>
      </c>
      <c r="D28" s="10">
        <v>25000</v>
      </c>
      <c r="E28" s="10">
        <v>13100</v>
      </c>
      <c r="F28" s="10">
        <v>2800</v>
      </c>
      <c r="G28" s="10">
        <v>1200</v>
      </c>
      <c r="H28" s="11">
        <v>677</v>
      </c>
      <c r="I28" s="17">
        <f t="shared" si="11"/>
        <v>0.02</v>
      </c>
      <c r="J28" s="19">
        <f t="shared" si="10"/>
        <v>3.7058823529411762</v>
      </c>
      <c r="K28" s="18">
        <f t="shared" si="12"/>
        <v>7.6335877862595417E-3</v>
      </c>
      <c r="L28" s="18">
        <f t="shared" si="13"/>
        <v>8.3333333333333329E-2</v>
      </c>
      <c r="M28" s="17">
        <f t="shared" si="14"/>
        <v>4.874446085672083E-2</v>
      </c>
      <c r="N28" s="17">
        <f t="shared" si="15"/>
        <v>0.47599999999999998</v>
      </c>
      <c r="O28" s="17">
        <f t="shared" si="16"/>
        <v>0.36399999999999999</v>
      </c>
      <c r="P28" s="17">
        <f t="shared" si="17"/>
        <v>0.316</v>
      </c>
      <c r="Q28" s="19">
        <f t="shared" si="7"/>
        <v>1.3346515076618944E-2</v>
      </c>
      <c r="R28" s="19">
        <f t="shared" si="8"/>
        <v>1.9176901529842711E-2</v>
      </c>
      <c r="S28" s="19">
        <f t="shared" si="9"/>
        <v>1.2658227848101278E-2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</row>
    <row r="29" spans="1:65" ht="13.8" x14ac:dyDescent="0.3">
      <c r="A29" s="8" t="s">
        <v>34</v>
      </c>
      <c r="B29" s="9">
        <v>44742</v>
      </c>
      <c r="C29" s="8" t="s">
        <v>16</v>
      </c>
      <c r="D29" s="10">
        <v>25500</v>
      </c>
      <c r="E29" s="10">
        <v>13200</v>
      </c>
      <c r="F29" s="10">
        <v>2840</v>
      </c>
      <c r="G29" s="10">
        <v>1300</v>
      </c>
      <c r="H29" s="11">
        <v>710</v>
      </c>
      <c r="I29" s="17">
        <f t="shared" si="11"/>
        <v>9.4117647058823528E-2</v>
      </c>
      <c r="J29" s="19">
        <f t="shared" si="10"/>
        <v>-0.20026881720430104</v>
      </c>
      <c r="K29" s="18">
        <f t="shared" si="12"/>
        <v>6.0606060606060608E-2</v>
      </c>
      <c r="L29" s="18">
        <f t="shared" si="13"/>
        <v>0.46153846153846156</v>
      </c>
      <c r="M29" s="17">
        <f t="shared" si="14"/>
        <v>4.647887323943662E-2</v>
      </c>
      <c r="N29" s="17">
        <f t="shared" si="15"/>
        <v>0.4823529411764706</v>
      </c>
      <c r="O29" s="17">
        <f t="shared" si="16"/>
        <v>0.37098039215686274</v>
      </c>
      <c r="P29" s="17">
        <f t="shared" si="17"/>
        <v>0.32</v>
      </c>
      <c r="Q29" s="19">
        <f t="shared" si="7"/>
        <v>3.2870006119415984E-2</v>
      </c>
      <c r="R29" s="19">
        <f t="shared" si="8"/>
        <v>4.3442678851531059E-2</v>
      </c>
      <c r="S29" s="19">
        <f t="shared" si="9"/>
        <v>-3.1362007168458592E-3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</row>
    <row r="30" spans="1:65" ht="13.8" x14ac:dyDescent="0.3">
      <c r="A30" s="8" t="s">
        <v>35</v>
      </c>
      <c r="B30" s="9">
        <v>44834</v>
      </c>
      <c r="C30" s="8" t="s">
        <v>16</v>
      </c>
      <c r="D30" s="10">
        <v>27900</v>
      </c>
      <c r="E30" s="10">
        <v>14000</v>
      </c>
      <c r="F30" s="10">
        <v>3100</v>
      </c>
      <c r="G30" s="10">
        <v>1900</v>
      </c>
      <c r="H30" s="11">
        <v>743</v>
      </c>
      <c r="I30" s="17">
        <f t="shared" si="11"/>
        <v>7.5268817204301078E-2</v>
      </c>
      <c r="J30" s="19"/>
      <c r="K30" s="18">
        <f t="shared" si="12"/>
        <v>6.4285714285714279E-2</v>
      </c>
      <c r="L30" s="18">
        <f t="shared" si="13"/>
        <v>2.6315789473684209E-2</v>
      </c>
      <c r="M30" s="17">
        <f t="shared" si="14"/>
        <v>7.6716016150740238E-2</v>
      </c>
      <c r="N30" s="17">
        <f t="shared" si="15"/>
        <v>0.49820788530465948</v>
      </c>
      <c r="O30" s="17">
        <f t="shared" si="16"/>
        <v>0.38709677419354838</v>
      </c>
      <c r="P30" s="17">
        <f t="shared" si="17"/>
        <v>0.31899641577060933</v>
      </c>
      <c r="Q30" s="19">
        <f t="shared" si="7"/>
        <v>1.0287769784172628E-2</v>
      </c>
      <c r="R30" s="19">
        <f t="shared" si="8"/>
        <v>-1.1111111111111044E-3</v>
      </c>
      <c r="S30" s="19">
        <f t="shared" si="9"/>
        <v>8.3707865168538599E-3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</row>
    <row r="31" spans="1:65" ht="13.8" x14ac:dyDescent="0.3">
      <c r="A31" s="8" t="s">
        <v>36</v>
      </c>
      <c r="B31" s="9">
        <v>44926</v>
      </c>
      <c r="C31" s="8" t="s">
        <v>16</v>
      </c>
      <c r="D31" s="10">
        <v>30000</v>
      </c>
      <c r="E31" s="10">
        <v>14900</v>
      </c>
      <c r="F31" s="10">
        <v>3500</v>
      </c>
      <c r="G31" s="10">
        <v>1950</v>
      </c>
      <c r="H31" s="11">
        <v>800</v>
      </c>
      <c r="I31" s="17" t="str">
        <f t="shared" si="11"/>
        <v/>
      </c>
      <c r="J31" s="19" t="str">
        <f t="shared" si="10"/>
        <v/>
      </c>
      <c r="K31" s="18" t="str">
        <f t="shared" si="12"/>
        <v/>
      </c>
      <c r="L31" s="18" t="str">
        <f t="shared" si="13"/>
        <v/>
      </c>
      <c r="M31" s="17" t="str">
        <f t="shared" si="14"/>
        <v/>
      </c>
      <c r="N31" s="17">
        <f t="shared" si="15"/>
        <v>0.5033333333333333</v>
      </c>
      <c r="O31" s="17">
        <f t="shared" si="16"/>
        <v>0.38666666666666666</v>
      </c>
      <c r="P31" s="17">
        <f t="shared" si="17"/>
        <v>0.32166666666666666</v>
      </c>
      <c r="Q31" s="16" t="str">
        <f t="shared" si="7"/>
        <v/>
      </c>
      <c r="R31" s="16" t="str">
        <f t="shared" si="8"/>
        <v/>
      </c>
      <c r="S31" s="16" t="str">
        <f t="shared" si="9"/>
        <v/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</row>
    <row r="32" spans="1:65" ht="13.8" x14ac:dyDescent="0.3">
      <c r="A32" s="8" t="s">
        <v>29</v>
      </c>
      <c r="B32" s="9">
        <v>44286</v>
      </c>
      <c r="C32" s="8" t="s">
        <v>17</v>
      </c>
      <c r="D32" s="10">
        <v>16000</v>
      </c>
      <c r="E32" s="10">
        <v>8200</v>
      </c>
      <c r="F32" s="10">
        <v>1600</v>
      </c>
      <c r="G32" s="10">
        <v>1100</v>
      </c>
      <c r="H32" s="11">
        <v>452</v>
      </c>
      <c r="I32" s="17">
        <f t="shared" si="11"/>
        <v>0.25</v>
      </c>
      <c r="J32" s="19" t="str">
        <f t="shared" si="10"/>
        <v/>
      </c>
      <c r="K32" s="18">
        <f t="shared" si="12"/>
        <v>0.28048780487804881</v>
      </c>
      <c r="L32" s="18">
        <f t="shared" si="13"/>
        <v>0.81818181818181823</v>
      </c>
      <c r="M32" s="17">
        <f t="shared" si="14"/>
        <v>0.16592920353982302</v>
      </c>
      <c r="N32" s="17">
        <f t="shared" si="15"/>
        <v>0.48749999999999999</v>
      </c>
      <c r="O32" s="17">
        <f t="shared" si="16"/>
        <v>0.38750000000000001</v>
      </c>
      <c r="P32" s="17">
        <f t="shared" si="17"/>
        <v>0.31874999999999998</v>
      </c>
      <c r="Q32" s="19">
        <f t="shared" si="7"/>
        <v>-2.5641025641025664E-2</v>
      </c>
      <c r="R32" s="19">
        <f t="shared" si="8"/>
        <v>7.0967741935483789E-2</v>
      </c>
      <c r="S32" s="19">
        <f t="shared" si="9"/>
        <v>-1.1764705882352865E-2</v>
      </c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</row>
    <row r="33" spans="1:65" ht="13.8" x14ac:dyDescent="0.3">
      <c r="A33" s="8" t="s">
        <v>30</v>
      </c>
      <c r="B33" s="9">
        <v>44377</v>
      </c>
      <c r="C33" s="8" t="s">
        <v>17</v>
      </c>
      <c r="D33" s="10">
        <v>20000</v>
      </c>
      <c r="E33" s="10">
        <v>10500</v>
      </c>
      <c r="F33" s="10">
        <v>1200</v>
      </c>
      <c r="G33" s="10">
        <v>2000</v>
      </c>
      <c r="H33" s="11">
        <v>527</v>
      </c>
      <c r="I33" s="17">
        <f t="shared" si="11"/>
        <v>0.75</v>
      </c>
      <c r="J33" s="19">
        <f t="shared" si="10"/>
        <v>-0.8438095238095239</v>
      </c>
      <c r="K33" s="18">
        <f t="shared" si="12"/>
        <v>0.59047619047619049</v>
      </c>
      <c r="L33" s="18">
        <f t="shared" si="13"/>
        <v>0.35</v>
      </c>
      <c r="M33" s="17">
        <f t="shared" si="14"/>
        <v>0.51992409867172673</v>
      </c>
      <c r="N33" s="17">
        <f t="shared" si="15"/>
        <v>0.47499999999999998</v>
      </c>
      <c r="O33" s="17">
        <f t="shared" si="16"/>
        <v>0.41499999999999998</v>
      </c>
      <c r="P33" s="17">
        <f t="shared" si="17"/>
        <v>0.315</v>
      </c>
      <c r="Q33" s="19">
        <f t="shared" si="7"/>
        <v>0.10075187969924829</v>
      </c>
      <c r="R33" s="19">
        <f t="shared" si="8"/>
        <v>-1.7211703958690779E-3</v>
      </c>
      <c r="S33" s="19">
        <f t="shared" si="9"/>
        <v>7.0294784580498829E-2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</row>
    <row r="34" spans="1:65" ht="13.8" x14ac:dyDescent="0.3">
      <c r="A34" s="8" t="s">
        <v>31</v>
      </c>
      <c r="B34" s="9">
        <v>44469</v>
      </c>
      <c r="C34" s="8" t="s">
        <v>17</v>
      </c>
      <c r="D34" s="10">
        <v>35000</v>
      </c>
      <c r="E34" s="10">
        <v>16700</v>
      </c>
      <c r="F34" s="10">
        <v>3800</v>
      </c>
      <c r="G34" s="10">
        <v>2700</v>
      </c>
      <c r="H34" s="11">
        <v>801</v>
      </c>
      <c r="I34" s="17">
        <f t="shared" si="11"/>
        <v>0.11714285714285715</v>
      </c>
      <c r="J34" s="19">
        <f t="shared" si="10"/>
        <v>-0.8035057076913481</v>
      </c>
      <c r="K34" s="18">
        <f t="shared" si="12"/>
        <v>0.19760479041916168</v>
      </c>
      <c r="L34" s="18">
        <f t="shared" si="13"/>
        <v>-0.22222222222222221</v>
      </c>
      <c r="M34" s="17">
        <f t="shared" si="14"/>
        <v>0.17103620474406991</v>
      </c>
      <c r="N34" s="17">
        <f t="shared" si="15"/>
        <v>0.52285714285714291</v>
      </c>
      <c r="O34" s="17">
        <f t="shared" si="16"/>
        <v>0.41428571428571431</v>
      </c>
      <c r="P34" s="17">
        <f t="shared" si="17"/>
        <v>0.33714285714285713</v>
      </c>
      <c r="Q34" s="19">
        <f t="shared" si="7"/>
        <v>-6.5727502690313522E-2</v>
      </c>
      <c r="R34" s="19">
        <f t="shared" si="8"/>
        <v>-6.0851926977688745E-3</v>
      </c>
      <c r="S34" s="19">
        <f t="shared" si="9"/>
        <v>6.2031297412111525E-2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</row>
    <row r="35" spans="1:65" ht="13.8" x14ac:dyDescent="0.3">
      <c r="A35" s="8" t="s">
        <v>32</v>
      </c>
      <c r="B35" s="9">
        <v>44561</v>
      </c>
      <c r="C35" s="8" t="s">
        <v>17</v>
      </c>
      <c r="D35" s="10">
        <v>39100</v>
      </c>
      <c r="E35" s="10">
        <v>20000</v>
      </c>
      <c r="F35" s="10">
        <v>3000</v>
      </c>
      <c r="G35" s="10">
        <v>2100</v>
      </c>
      <c r="H35" s="11">
        <v>938</v>
      </c>
      <c r="I35" s="17">
        <f t="shared" si="11"/>
        <v>2.3017902813299233E-2</v>
      </c>
      <c r="J35" s="19">
        <f t="shared" si="10"/>
        <v>-0.34833333333333338</v>
      </c>
      <c r="K35" s="18">
        <f t="shared" si="12"/>
        <v>-3.5000000000000003E-2</v>
      </c>
      <c r="L35" s="18">
        <f t="shared" si="13"/>
        <v>0.38095238095238093</v>
      </c>
      <c r="M35" s="17">
        <f t="shared" si="14"/>
        <v>1.279317697228145E-2</v>
      </c>
      <c r="N35" s="17">
        <f t="shared" si="15"/>
        <v>0.48849104859335041</v>
      </c>
      <c r="O35" s="17">
        <f t="shared" si="16"/>
        <v>0.41176470588235292</v>
      </c>
      <c r="P35" s="17">
        <f t="shared" si="17"/>
        <v>0.35805626598465473</v>
      </c>
      <c r="Q35" s="19">
        <f t="shared" si="7"/>
        <v>5.9384816753926567E-2</v>
      </c>
      <c r="R35" s="19">
        <f t="shared" si="8"/>
        <v>3.2142857142857167E-2</v>
      </c>
      <c r="S35" s="19">
        <f t="shared" si="9"/>
        <v>-1.5517857142857198E-2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</row>
    <row r="36" spans="1:65" ht="13.8" x14ac:dyDescent="0.3">
      <c r="A36" s="8" t="s">
        <v>33</v>
      </c>
      <c r="B36" s="9">
        <v>44651</v>
      </c>
      <c r="C36" s="8" t="s">
        <v>17</v>
      </c>
      <c r="D36" s="10">
        <v>40000</v>
      </c>
      <c r="E36" s="10">
        <v>19300</v>
      </c>
      <c r="F36" s="10">
        <v>3700</v>
      </c>
      <c r="G36" s="10">
        <v>2900</v>
      </c>
      <c r="H36" s="11">
        <v>950</v>
      </c>
      <c r="I36" s="17">
        <f t="shared" si="11"/>
        <v>1.4999999999999999E-2</v>
      </c>
      <c r="J36" s="19">
        <f t="shared" si="10"/>
        <v>13.77832512315271</v>
      </c>
      <c r="K36" s="18">
        <f t="shared" si="12"/>
        <v>1.0362694300518135E-2</v>
      </c>
      <c r="L36" s="18">
        <f t="shared" si="13"/>
        <v>1.7241379310344827E-2</v>
      </c>
      <c r="M36" s="17">
        <f t="shared" si="14"/>
        <v>2.1052631578947368E-2</v>
      </c>
      <c r="N36" s="17">
        <f t="shared" si="15"/>
        <v>0.51749999999999996</v>
      </c>
      <c r="O36" s="17">
        <f t="shared" si="16"/>
        <v>0.42499999999999999</v>
      </c>
      <c r="P36" s="17">
        <f t="shared" si="17"/>
        <v>0.35249999999999998</v>
      </c>
      <c r="Q36" s="19">
        <f t="shared" si="7"/>
        <v>4.2597748744675592E-3</v>
      </c>
      <c r="R36" s="19">
        <f t="shared" si="8"/>
        <v>-1.4778325123152712E-2</v>
      </c>
      <c r="S36" s="19">
        <f t="shared" si="9"/>
        <v>-1.8272019005694685E-2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</row>
    <row r="37" spans="1:65" ht="13.8" x14ac:dyDescent="0.3">
      <c r="A37" s="8" t="s">
        <v>34</v>
      </c>
      <c r="B37" s="9">
        <v>44742</v>
      </c>
      <c r="C37" s="8" t="s">
        <v>17</v>
      </c>
      <c r="D37" s="10">
        <v>40600</v>
      </c>
      <c r="E37" s="10">
        <v>19500</v>
      </c>
      <c r="F37" s="10">
        <v>4100</v>
      </c>
      <c r="G37" s="10">
        <v>2950</v>
      </c>
      <c r="H37" s="11">
        <v>970</v>
      </c>
      <c r="I37" s="17">
        <f t="shared" si="11"/>
        <v>0.22167487684729065</v>
      </c>
      <c r="J37" s="19">
        <f t="shared" si="10"/>
        <v>-0.93633512544802877</v>
      </c>
      <c r="K37" s="18">
        <f t="shared" si="12"/>
        <v>0.2153846153846154</v>
      </c>
      <c r="L37" s="18">
        <f t="shared" si="13"/>
        <v>1.6949152542372881E-2</v>
      </c>
      <c r="M37" s="17">
        <f t="shared" si="14"/>
        <v>0.19072164948453607</v>
      </c>
      <c r="N37" s="17">
        <f t="shared" si="15"/>
        <v>0.51970443349753692</v>
      </c>
      <c r="O37" s="17">
        <f t="shared" si="16"/>
        <v>0.41871921182266009</v>
      </c>
      <c r="P37" s="17">
        <f t="shared" si="17"/>
        <v>0.3460591133004926</v>
      </c>
      <c r="Q37" s="19">
        <f t="shared" si="7"/>
        <v>4.7584467206850259E-3</v>
      </c>
      <c r="R37" s="19">
        <f t="shared" si="8"/>
        <v>-4.1816888045540825E-2</v>
      </c>
      <c r="S37" s="19">
        <f t="shared" si="9"/>
        <v>-1.5411548616691594E-2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</row>
    <row r="38" spans="1:65" ht="13.8" x14ac:dyDescent="0.3">
      <c r="A38" s="8" t="s">
        <v>35</v>
      </c>
      <c r="B38" s="9">
        <v>44834</v>
      </c>
      <c r="C38" s="8" t="s">
        <v>17</v>
      </c>
      <c r="D38" s="10">
        <v>49600</v>
      </c>
      <c r="E38" s="10">
        <v>23700</v>
      </c>
      <c r="F38" s="10">
        <v>6000</v>
      </c>
      <c r="G38" s="10">
        <v>3000</v>
      </c>
      <c r="H38" s="11">
        <v>1155</v>
      </c>
      <c r="I38" s="17">
        <f t="shared" si="11"/>
        <v>1.4112903225806451E-2</v>
      </c>
      <c r="J38" s="19"/>
      <c r="K38" s="18">
        <f t="shared" si="12"/>
        <v>2.5316455696202531E-2</v>
      </c>
      <c r="L38" s="18">
        <f t="shared" si="13"/>
        <v>1.6666666666666666E-2</v>
      </c>
      <c r="M38" s="17">
        <f t="shared" si="14"/>
        <v>3.0303030303030304E-2</v>
      </c>
      <c r="N38" s="17">
        <f t="shared" si="15"/>
        <v>0.52217741935483875</v>
      </c>
      <c r="O38" s="17">
        <f t="shared" si="16"/>
        <v>0.40120967741935482</v>
      </c>
      <c r="P38" s="17">
        <f t="shared" si="17"/>
        <v>0.34072580645161288</v>
      </c>
      <c r="Q38" s="19">
        <f t="shared" si="7"/>
        <v>-1.0109228797101534E-2</v>
      </c>
      <c r="R38" s="19">
        <f t="shared" si="8"/>
        <v>-3.1259678112231022E-2</v>
      </c>
      <c r="S38" s="19">
        <f t="shared" si="9"/>
        <v>-3.7255755408377993E-2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</row>
    <row r="39" spans="1:65" ht="13.8" x14ac:dyDescent="0.3">
      <c r="A39" s="8" t="s">
        <v>36</v>
      </c>
      <c r="B39" s="9">
        <v>44926</v>
      </c>
      <c r="C39" s="8" t="s">
        <v>17</v>
      </c>
      <c r="D39" s="10">
        <v>50300</v>
      </c>
      <c r="E39" s="10">
        <v>24300</v>
      </c>
      <c r="F39" s="10">
        <v>6450</v>
      </c>
      <c r="G39" s="10">
        <v>3050</v>
      </c>
      <c r="H39" s="11">
        <v>1190</v>
      </c>
      <c r="I39" s="17" t="str">
        <f t="shared" si="11"/>
        <v/>
      </c>
      <c r="J39" s="19" t="str">
        <f t="shared" si="10"/>
        <v/>
      </c>
      <c r="K39" s="18" t="str">
        <f t="shared" si="12"/>
        <v/>
      </c>
      <c r="L39" s="18" t="str">
        <f t="shared" si="13"/>
        <v/>
      </c>
      <c r="M39" s="17" t="str">
        <f t="shared" si="14"/>
        <v/>
      </c>
      <c r="N39" s="17">
        <f t="shared" si="15"/>
        <v>0.51689860834990065</v>
      </c>
      <c r="O39" s="17">
        <f t="shared" si="16"/>
        <v>0.38866799204771374</v>
      </c>
      <c r="P39" s="17">
        <f t="shared" si="17"/>
        <v>0.32803180914512925</v>
      </c>
      <c r="Q39" s="16" t="str">
        <f t="shared" si="7"/>
        <v/>
      </c>
      <c r="R39" s="16" t="str">
        <f t="shared" si="8"/>
        <v/>
      </c>
      <c r="S39" s="16" t="str">
        <f t="shared" si="9"/>
        <v/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</row>
    <row r="40" spans="1:65" ht="13.8" x14ac:dyDescent="0.3">
      <c r="A40" s="8" t="s">
        <v>29</v>
      </c>
      <c r="B40" s="9">
        <v>44286</v>
      </c>
      <c r="C40" s="8" t="s">
        <v>18</v>
      </c>
      <c r="D40" s="10">
        <v>47000</v>
      </c>
      <c r="E40" s="10">
        <v>23800</v>
      </c>
      <c r="F40" s="10">
        <v>3950</v>
      </c>
      <c r="G40" s="10">
        <v>2740</v>
      </c>
      <c r="H40" s="11">
        <v>1302</v>
      </c>
      <c r="I40" s="17">
        <f t="shared" si="11"/>
        <v>2.3404255319148935E-2</v>
      </c>
      <c r="J40" s="19" t="str">
        <f t="shared" si="10"/>
        <v/>
      </c>
      <c r="K40" s="18">
        <f t="shared" si="12"/>
        <v>5.0420168067226892E-2</v>
      </c>
      <c r="L40" s="18">
        <f t="shared" si="13"/>
        <v>2.1897810218978103E-2</v>
      </c>
      <c r="M40" s="17">
        <f t="shared" si="14"/>
        <v>6.1443932411674347E-3</v>
      </c>
      <c r="N40" s="17">
        <f t="shared" si="15"/>
        <v>0.49361702127659574</v>
      </c>
      <c r="O40" s="17">
        <f t="shared" si="16"/>
        <v>0.40957446808510639</v>
      </c>
      <c r="P40" s="17">
        <f t="shared" si="17"/>
        <v>0.35127659574468084</v>
      </c>
      <c r="Q40" s="19">
        <f t="shared" si="7"/>
        <v>-2.708079432217356E-2</v>
      </c>
      <c r="R40" s="19">
        <f t="shared" si="8"/>
        <v>-1.5498015498015823E-3</v>
      </c>
      <c r="S40" s="19">
        <f t="shared" si="9"/>
        <v>-1.5627144639864176E-3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</row>
    <row r="41" spans="1:65" ht="13.8" x14ac:dyDescent="0.3">
      <c r="A41" s="8" t="s">
        <v>30</v>
      </c>
      <c r="B41" s="9">
        <v>44377</v>
      </c>
      <c r="C41" s="8" t="s">
        <v>18</v>
      </c>
      <c r="D41" s="10">
        <v>48100</v>
      </c>
      <c r="E41" s="10">
        <v>25000</v>
      </c>
      <c r="F41" s="10">
        <v>3430</v>
      </c>
      <c r="G41" s="10">
        <v>2800</v>
      </c>
      <c r="H41" s="11">
        <v>1310</v>
      </c>
      <c r="I41" s="17">
        <f t="shared" si="11"/>
        <v>0</v>
      </c>
      <c r="J41" s="19" t="str">
        <f t="shared" si="10"/>
        <v/>
      </c>
      <c r="K41" s="18">
        <f t="shared" si="12"/>
        <v>0</v>
      </c>
      <c r="L41" s="18">
        <f t="shared" si="13"/>
        <v>0</v>
      </c>
      <c r="M41" s="17">
        <f t="shared" si="14"/>
        <v>0</v>
      </c>
      <c r="N41" s="17">
        <f t="shared" si="15"/>
        <v>0.48024948024948028</v>
      </c>
      <c r="O41" s="17">
        <f t="shared" si="16"/>
        <v>0.40893970893970893</v>
      </c>
      <c r="P41" s="17">
        <f t="shared" si="17"/>
        <v>0.35072765072765072</v>
      </c>
      <c r="Q41" s="19">
        <f t="shared" si="7"/>
        <v>0</v>
      </c>
      <c r="R41" s="19">
        <f t="shared" si="8"/>
        <v>0</v>
      </c>
      <c r="S41" s="19">
        <f t="shared" si="9"/>
        <v>0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</row>
    <row r="42" spans="1:65" ht="13.8" x14ac:dyDescent="0.3">
      <c r="A42" s="8" t="s">
        <v>31</v>
      </c>
      <c r="B42" s="9">
        <v>44469</v>
      </c>
      <c r="C42" s="8" t="s">
        <v>18</v>
      </c>
      <c r="D42" s="10">
        <v>48100</v>
      </c>
      <c r="E42" s="10">
        <v>25000</v>
      </c>
      <c r="F42" s="10">
        <v>3430</v>
      </c>
      <c r="G42" s="10">
        <v>2800</v>
      </c>
      <c r="H42" s="11">
        <v>1310</v>
      </c>
      <c r="I42" s="17">
        <f t="shared" si="11"/>
        <v>-2.0790020790020791E-2</v>
      </c>
      <c r="J42" s="19">
        <f t="shared" si="10"/>
        <v>-2.9403397027600846</v>
      </c>
      <c r="K42" s="18">
        <f t="shared" si="12"/>
        <v>-0.04</v>
      </c>
      <c r="L42" s="18">
        <f t="shared" si="13"/>
        <v>-3.5714285714285712E-2</v>
      </c>
      <c r="M42" s="17">
        <f t="shared" si="14"/>
        <v>0</v>
      </c>
      <c r="N42" s="17">
        <f t="shared" si="15"/>
        <v>0.48024948024948028</v>
      </c>
      <c r="O42" s="17">
        <f t="shared" si="16"/>
        <v>0.40893970893970893</v>
      </c>
      <c r="P42" s="17">
        <f t="shared" si="17"/>
        <v>0.35072765072765072</v>
      </c>
      <c r="Q42" s="19">
        <f t="shared" si="7"/>
        <v>2.1231422505307802E-2</v>
      </c>
      <c r="R42" s="19">
        <f t="shared" si="8"/>
        <v>2.1231422505307913E-2</v>
      </c>
      <c r="S42" s="19">
        <f t="shared" si="9"/>
        <v>2.728495790842167E-2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</row>
    <row r="43" spans="1:65" ht="13.8" x14ac:dyDescent="0.3">
      <c r="A43" s="8" t="s">
        <v>32</v>
      </c>
      <c r="B43" s="9">
        <v>44561</v>
      </c>
      <c r="C43" s="8" t="s">
        <v>18</v>
      </c>
      <c r="D43" s="10">
        <v>47100</v>
      </c>
      <c r="E43" s="10">
        <v>24000</v>
      </c>
      <c r="F43" s="10">
        <v>3430</v>
      </c>
      <c r="G43" s="10">
        <v>2700</v>
      </c>
      <c r="H43" s="11">
        <v>1310</v>
      </c>
      <c r="I43" s="17">
        <f t="shared" si="11"/>
        <v>4.0339702760084924E-2</v>
      </c>
      <c r="J43" s="19">
        <f t="shared" si="10"/>
        <v>-0.49409237379162191</v>
      </c>
      <c r="K43" s="18">
        <f t="shared" si="12"/>
        <v>4.1666666666666664E-2</v>
      </c>
      <c r="L43" s="18">
        <f t="shared" si="13"/>
        <v>0.19259259259259259</v>
      </c>
      <c r="M43" s="17">
        <f t="shared" si="14"/>
        <v>7.6335877862595417E-3</v>
      </c>
      <c r="N43" s="17">
        <f t="shared" si="15"/>
        <v>0.49044585987261147</v>
      </c>
      <c r="O43" s="17">
        <f t="shared" si="16"/>
        <v>0.41762208067940554</v>
      </c>
      <c r="P43" s="17">
        <f t="shared" si="17"/>
        <v>0.36029723991507429</v>
      </c>
      <c r="Q43" s="19">
        <f t="shared" si="7"/>
        <v>-1.3252054068380874E-3</v>
      </c>
      <c r="R43" s="19">
        <f t="shared" si="8"/>
        <v>-2.2160546984426731E-2</v>
      </c>
      <c r="S43" s="19">
        <f t="shared" si="9"/>
        <v>-4.8971173619712989E-2</v>
      </c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</row>
    <row r="44" spans="1:65" ht="13.8" x14ac:dyDescent="0.3">
      <c r="A44" s="8" t="s">
        <v>33</v>
      </c>
      <c r="B44" s="9">
        <v>44651</v>
      </c>
      <c r="C44" s="8" t="s">
        <v>18</v>
      </c>
      <c r="D44" s="10">
        <v>49000</v>
      </c>
      <c r="E44" s="10">
        <v>25000</v>
      </c>
      <c r="F44" s="10">
        <v>3990</v>
      </c>
      <c r="G44" s="10">
        <v>3220</v>
      </c>
      <c r="H44" s="11">
        <v>1320</v>
      </c>
      <c r="I44" s="17">
        <f t="shared" si="11"/>
        <v>2.0408163265306121E-2</v>
      </c>
      <c r="J44" s="19">
        <f t="shared" si="10"/>
        <v>4.8800000000000008</v>
      </c>
      <c r="K44" s="18">
        <f t="shared" si="12"/>
        <v>0</v>
      </c>
      <c r="L44" s="18">
        <f t="shared" si="13"/>
        <v>0</v>
      </c>
      <c r="M44" s="17">
        <f t="shared" si="14"/>
        <v>0</v>
      </c>
      <c r="N44" s="17">
        <f t="shared" si="15"/>
        <v>0.48979591836734693</v>
      </c>
      <c r="O44" s="17">
        <f t="shared" si="16"/>
        <v>0.40836734693877552</v>
      </c>
      <c r="P44" s="17">
        <f t="shared" si="17"/>
        <v>0.3426530612244898</v>
      </c>
      <c r="Q44" s="19">
        <f t="shared" si="7"/>
        <v>2.0833333333333356E-2</v>
      </c>
      <c r="R44" s="19">
        <f t="shared" si="8"/>
        <v>2.8975512243878076E-2</v>
      </c>
      <c r="S44" s="19">
        <f t="shared" si="9"/>
        <v>3.8368076235854691E-2</v>
      </c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</row>
    <row r="45" spans="1:65" ht="13.8" x14ac:dyDescent="0.3">
      <c r="A45" s="8" t="s">
        <v>34</v>
      </c>
      <c r="B45" s="9">
        <v>44742</v>
      </c>
      <c r="C45" s="8" t="s">
        <v>18</v>
      </c>
      <c r="D45" s="10">
        <v>50000</v>
      </c>
      <c r="E45" s="10">
        <v>25000</v>
      </c>
      <c r="F45" s="10">
        <v>3990</v>
      </c>
      <c r="G45" s="10">
        <v>3220</v>
      </c>
      <c r="H45" s="11">
        <v>1320</v>
      </c>
      <c r="I45" s="17">
        <f t="shared" si="11"/>
        <v>0.12</v>
      </c>
      <c r="J45" s="19">
        <f t="shared" si="10"/>
        <v>-0.85119047619047628</v>
      </c>
      <c r="K45" s="18">
        <f t="shared" si="12"/>
        <v>0.08</v>
      </c>
      <c r="L45" s="18">
        <f t="shared" si="13"/>
        <v>7.7639751552795025E-2</v>
      </c>
      <c r="M45" s="17">
        <f t="shared" si="14"/>
        <v>5.1515151515151514E-2</v>
      </c>
      <c r="N45" s="17">
        <f t="shared" si="15"/>
        <v>0.5</v>
      </c>
      <c r="O45" s="17">
        <f t="shared" si="16"/>
        <v>0.42020000000000002</v>
      </c>
      <c r="P45" s="17">
        <f t="shared" si="17"/>
        <v>0.35580000000000001</v>
      </c>
      <c r="Q45" s="19">
        <f t="shared" si="7"/>
        <v>3.5714285714285809E-2</v>
      </c>
      <c r="R45" s="19">
        <f t="shared" si="8"/>
        <v>5.3919902087441261E-2</v>
      </c>
      <c r="S45" s="19">
        <f t="shared" si="9"/>
        <v>7.0525174656709211E-2</v>
      </c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</row>
    <row r="46" spans="1:65" ht="13.8" x14ac:dyDescent="0.3">
      <c r="A46" s="8" t="s">
        <v>35</v>
      </c>
      <c r="B46" s="9">
        <v>44834</v>
      </c>
      <c r="C46" s="8" t="s">
        <v>18</v>
      </c>
      <c r="D46" s="10">
        <v>56000</v>
      </c>
      <c r="E46" s="10">
        <v>27000</v>
      </c>
      <c r="F46" s="10">
        <v>4200</v>
      </c>
      <c r="G46" s="10">
        <v>3470</v>
      </c>
      <c r="H46" s="11">
        <v>1388</v>
      </c>
      <c r="I46" s="17">
        <f t="shared" si="11"/>
        <v>1.7857142857142856E-2</v>
      </c>
      <c r="J46" s="19" t="e">
        <f>IF(AND(C46=C45, I46&lt;&gt;0, I46&lt;&gt;""), (I47 - I46) / I46, "")</f>
        <v>#VALUE!</v>
      </c>
      <c r="K46" s="18">
        <f t="shared" si="12"/>
        <v>2.5925925925925925E-2</v>
      </c>
      <c r="L46" s="18">
        <f t="shared" si="13"/>
        <v>0</v>
      </c>
      <c r="M46" s="17">
        <f t="shared" si="14"/>
        <v>1.4409221902017291E-2</v>
      </c>
      <c r="N46" s="17">
        <f t="shared" si="15"/>
        <v>0.5178571428571429</v>
      </c>
      <c r="O46" s="17">
        <f t="shared" si="16"/>
        <v>0.44285714285714284</v>
      </c>
      <c r="P46" s="17">
        <f t="shared" si="17"/>
        <v>0.38089285714285714</v>
      </c>
      <c r="Q46" s="19">
        <f t="shared" si="7"/>
        <v>-7.380520266182705E-3</v>
      </c>
      <c r="R46" s="19">
        <f t="shared" si="8"/>
        <v>-1.7543859649122719E-2</v>
      </c>
      <c r="S46" s="19">
        <f t="shared" si="9"/>
        <v>-1.7543859649122757E-2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</row>
    <row r="47" spans="1:65" ht="13.8" x14ac:dyDescent="0.3">
      <c r="A47" s="8" t="s">
        <v>36</v>
      </c>
      <c r="B47" s="9">
        <v>44926</v>
      </c>
      <c r="C47" s="8" t="s">
        <v>18</v>
      </c>
      <c r="D47" s="10">
        <v>57000</v>
      </c>
      <c r="E47" s="10">
        <v>27700</v>
      </c>
      <c r="F47" s="10">
        <v>4500</v>
      </c>
      <c r="G47" s="10">
        <v>3470</v>
      </c>
      <c r="H47" s="11">
        <v>1408</v>
      </c>
      <c r="I47" s="17" t="str">
        <f t="shared" si="11"/>
        <v/>
      </c>
      <c r="J47" s="19" t="str">
        <f t="shared" si="10"/>
        <v/>
      </c>
      <c r="K47" s="18" t="str">
        <f t="shared" si="12"/>
        <v/>
      </c>
      <c r="L47" s="18" t="str">
        <f t="shared" si="13"/>
        <v/>
      </c>
      <c r="M47" s="17" t="str">
        <f t="shared" si="14"/>
        <v/>
      </c>
      <c r="N47" s="17">
        <f t="shared" si="15"/>
        <v>0.51403508771929829</v>
      </c>
      <c r="O47" s="17">
        <f t="shared" si="16"/>
        <v>0.43508771929824563</v>
      </c>
      <c r="P47" s="17">
        <f t="shared" si="17"/>
        <v>0.37421052631578949</v>
      </c>
      <c r="Q47" s="16" t="str">
        <f t="shared" si="7"/>
        <v/>
      </c>
      <c r="R47" s="16" t="str">
        <f t="shared" si="8"/>
        <v/>
      </c>
      <c r="S47" s="16" t="str">
        <f t="shared" si="9"/>
        <v/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</row>
    <row r="48" spans="1:65" ht="13.8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</row>
    <row r="49" spans="1:65" ht="13.8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</row>
    <row r="50" spans="1:65" ht="13.8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</row>
    <row r="51" spans="1:65" ht="13.8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</row>
    <row r="52" spans="1:65" ht="13.8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</row>
    <row r="53" spans="1:65" ht="13.8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</row>
    <row r="54" spans="1:65" ht="13.8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</row>
    <row r="55" spans="1:65" ht="13.8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</row>
    <row r="56" spans="1:65" ht="13.8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</row>
    <row r="57" spans="1:65" ht="13.8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</row>
    <row r="58" spans="1:65" ht="13.8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</row>
    <row r="59" spans="1:65" ht="13.8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</row>
    <row r="60" spans="1:65" ht="13.8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</row>
    <row r="61" spans="1:65" ht="13.8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</row>
    <row r="62" spans="1:65" ht="13.8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</row>
    <row r="63" spans="1:65" ht="13.8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</row>
    <row r="64" spans="1:65" ht="13.8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</row>
    <row r="65" spans="1:65" ht="13.8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</row>
    <row r="66" spans="1:65" ht="13.8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</row>
    <row r="67" spans="1:65" ht="13.8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</row>
    <row r="68" spans="1:65" ht="13.8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</row>
    <row r="69" spans="1:65" ht="13.8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</row>
    <row r="70" spans="1:65" ht="13.8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</row>
    <row r="71" spans="1:65" ht="13.8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</row>
    <row r="72" spans="1:65" ht="13.8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</row>
    <row r="73" spans="1:65" ht="13.8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</row>
    <row r="74" spans="1:65" ht="13.8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</row>
    <row r="75" spans="1:65" ht="13.8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</row>
    <row r="76" spans="1:65" ht="13.8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</row>
    <row r="77" spans="1:65" ht="13.8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</row>
    <row r="78" spans="1:65" ht="13.8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</row>
    <row r="79" spans="1:65" ht="13.8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</row>
    <row r="80" spans="1:65" ht="13.8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</row>
    <row r="81" spans="1:65" ht="13.8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</row>
    <row r="82" spans="1:65" ht="13.8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</row>
    <row r="83" spans="1:65" ht="13.8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</row>
    <row r="84" spans="1:65" ht="13.8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</row>
    <row r="85" spans="1:65" ht="13.8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</row>
    <row r="86" spans="1:65" ht="13.8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</row>
    <row r="87" spans="1:65" ht="13.8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</row>
    <row r="88" spans="1:65" ht="13.8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</row>
    <row r="89" spans="1:65" ht="13.8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</row>
    <row r="90" spans="1:65" ht="13.8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</row>
    <row r="91" spans="1:65" ht="13.8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</row>
    <row r="92" spans="1:65" ht="13.8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</row>
    <row r="93" spans="1:65" ht="13.8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</row>
    <row r="94" spans="1:65" ht="13.8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</row>
    <row r="95" spans="1:65" ht="13.8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</row>
    <row r="96" spans="1:65" ht="13.8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</row>
    <row r="97" spans="1:65" ht="13.8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</row>
    <row r="98" spans="1:65" ht="13.8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</row>
    <row r="99" spans="1:65" ht="13.8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</row>
    <row r="100" spans="1:65" ht="13.8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</row>
    <row r="101" spans="1:65" ht="13.8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</row>
    <row r="102" spans="1:65" ht="13.8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</row>
    <row r="103" spans="1:65" ht="13.8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</row>
    <row r="104" spans="1:65" ht="13.8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</row>
    <row r="105" spans="1:65" ht="13.8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</row>
    <row r="106" spans="1:65" ht="13.8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</row>
    <row r="107" spans="1:65" ht="13.8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</row>
    <row r="108" spans="1:65" ht="13.8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</row>
    <row r="109" spans="1:65" ht="13.8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</row>
    <row r="110" spans="1:65" ht="13.8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</row>
    <row r="111" spans="1:65" ht="13.8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</row>
    <row r="112" spans="1:65" ht="13.8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</row>
    <row r="113" spans="1:65" ht="13.8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</row>
    <row r="114" spans="1:65" ht="13.8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</row>
    <row r="115" spans="1:65" ht="13.8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</row>
    <row r="116" spans="1:65" ht="13.8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</row>
    <row r="117" spans="1:65" ht="13.8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</row>
    <row r="118" spans="1:65" ht="13.8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</row>
    <row r="119" spans="1:65" ht="13.8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</row>
    <row r="120" spans="1:65" ht="13.8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</row>
    <row r="121" spans="1:65" ht="13.8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</row>
    <row r="122" spans="1:65" ht="13.8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</row>
    <row r="123" spans="1:65" ht="13.8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</row>
    <row r="124" spans="1:65" ht="13.8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</row>
    <row r="125" spans="1:65" ht="13.8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</row>
    <row r="126" spans="1:65" ht="13.8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</row>
    <row r="127" spans="1:65" ht="13.8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</row>
    <row r="128" spans="1:65" ht="13.8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</row>
    <row r="129" spans="1:65" ht="13.8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</row>
    <row r="130" spans="1:65" ht="13.8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</row>
    <row r="131" spans="1:65" ht="13.8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</row>
    <row r="132" spans="1:65" ht="13.8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</row>
    <row r="133" spans="1:65" ht="13.8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</row>
    <row r="134" spans="1:65" ht="13.8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</row>
    <row r="135" spans="1:65" ht="13.8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</row>
    <row r="136" spans="1:65" ht="13.8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</row>
    <row r="137" spans="1:65" ht="13.8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</row>
    <row r="138" spans="1:65" ht="13.8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</row>
    <row r="139" spans="1:65" ht="13.8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</row>
    <row r="140" spans="1:65" ht="13.8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</row>
    <row r="141" spans="1:65" ht="13.8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</row>
    <row r="142" spans="1:65" ht="13.8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</row>
    <row r="143" spans="1:65" ht="13.8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</row>
    <row r="144" spans="1:65" ht="13.8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</row>
    <row r="145" spans="1:65" ht="13.8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</row>
    <row r="146" spans="1:65" ht="13.8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</row>
    <row r="147" spans="1:65" ht="13.8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</row>
    <row r="148" spans="1:65" ht="13.8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</row>
    <row r="149" spans="1:65" ht="13.8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</row>
    <row r="150" spans="1:65" ht="13.8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</row>
    <row r="151" spans="1:65" ht="13.8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</row>
    <row r="152" spans="1:65" ht="13.8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</row>
    <row r="153" spans="1:65" ht="13.8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</row>
    <row r="154" spans="1:65" ht="13.8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</row>
    <row r="155" spans="1:65" ht="13.8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</row>
    <row r="156" spans="1:65" ht="13.8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</row>
    <row r="157" spans="1:65" ht="13.8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</row>
    <row r="158" spans="1:65" ht="13.8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</row>
    <row r="159" spans="1:65" ht="13.8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</row>
    <row r="160" spans="1:65" ht="13.8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</row>
    <row r="161" spans="1:65" ht="13.8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</row>
    <row r="162" spans="1:65" ht="13.8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</row>
    <row r="163" spans="1:65" ht="13.8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</row>
    <row r="164" spans="1:65" ht="13.8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</row>
    <row r="165" spans="1:65" ht="13.8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</row>
    <row r="166" spans="1:65" ht="13.8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</row>
    <row r="167" spans="1:65" ht="13.8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</row>
    <row r="168" spans="1:65" ht="13.8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</row>
    <row r="169" spans="1:65" ht="13.8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</row>
    <row r="170" spans="1:65" ht="13.8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</row>
    <row r="171" spans="1:65" ht="13.8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</row>
    <row r="172" spans="1:65" ht="13.8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</row>
    <row r="173" spans="1:65" ht="13.8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</row>
    <row r="174" spans="1:65" ht="13.8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</row>
    <row r="175" spans="1:65" ht="13.8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</row>
    <row r="176" spans="1:65" ht="13.8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</row>
    <row r="177" spans="1:65" ht="13.8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</row>
    <row r="178" spans="1:65" ht="13.8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</row>
    <row r="179" spans="1:65" ht="13.8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</row>
    <row r="180" spans="1:65" ht="13.8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</row>
    <row r="181" spans="1:65" ht="13.8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</row>
    <row r="182" spans="1:65" ht="13.8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</row>
    <row r="183" spans="1:65" ht="13.8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</row>
    <row r="184" spans="1:65" ht="13.8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</row>
    <row r="185" spans="1:65" ht="13.8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</row>
    <row r="186" spans="1:65" ht="13.8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</row>
    <row r="187" spans="1:65" ht="13.8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</row>
    <row r="188" spans="1:65" ht="13.8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</row>
    <row r="189" spans="1:65" ht="13.8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</row>
    <row r="190" spans="1:65" ht="13.8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</row>
    <row r="191" spans="1:65" ht="13.8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</row>
    <row r="192" spans="1:65" ht="13.8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</row>
    <row r="193" spans="1:65" ht="13.8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</row>
    <row r="194" spans="1:65" ht="13.8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</row>
    <row r="195" spans="1:65" ht="13.8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</row>
    <row r="196" spans="1:65" ht="13.8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</row>
    <row r="197" spans="1:65" ht="13.8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</row>
    <row r="198" spans="1:65" ht="13.8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</row>
    <row r="199" spans="1:65" ht="13.8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</row>
    <row r="200" spans="1:65" ht="13.8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</row>
    <row r="201" spans="1:65" ht="13.8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</row>
    <row r="202" spans="1:65" ht="13.8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</row>
    <row r="203" spans="1:65" ht="13.8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</row>
    <row r="204" spans="1:65" ht="13.8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</row>
    <row r="205" spans="1:65" ht="13.8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</row>
    <row r="206" spans="1:65" ht="13.8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</row>
    <row r="207" spans="1:65" ht="13.8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</row>
    <row r="208" spans="1:65" ht="13.8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</row>
    <row r="209" spans="1:65" ht="13.8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</row>
    <row r="210" spans="1:65" ht="13.8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</row>
    <row r="211" spans="1:65" ht="13.8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</row>
    <row r="212" spans="1:65" ht="13.8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</row>
    <row r="213" spans="1:65" ht="13.8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</row>
    <row r="214" spans="1:65" ht="13.8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</row>
    <row r="215" spans="1:65" ht="13.8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</row>
    <row r="216" spans="1:65" ht="13.8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</row>
    <row r="217" spans="1:65" ht="13.8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</row>
    <row r="218" spans="1:65" ht="13.8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</row>
    <row r="219" spans="1:65" ht="13.8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</row>
    <row r="220" spans="1:65" ht="13.8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</row>
    <row r="221" spans="1:65" ht="13.8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</row>
    <row r="222" spans="1:65" ht="13.8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</row>
    <row r="223" spans="1:65" ht="13.8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</row>
    <row r="224" spans="1:65" ht="13.8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</row>
    <row r="225" spans="1:65" ht="13.8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</row>
    <row r="226" spans="1:65" ht="13.8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</row>
    <row r="227" spans="1:65" ht="13.8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</row>
    <row r="228" spans="1:65" ht="13.8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</row>
    <row r="229" spans="1:65" ht="13.8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</row>
    <row r="230" spans="1:65" ht="13.8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</row>
    <row r="231" spans="1:65" ht="13.8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</row>
    <row r="232" spans="1:65" ht="13.8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</row>
    <row r="233" spans="1:65" ht="13.8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</row>
    <row r="234" spans="1:65" ht="13.8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</row>
    <row r="235" spans="1:65" ht="13.8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</row>
    <row r="236" spans="1:65" ht="13.8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</row>
    <row r="237" spans="1:65" ht="13.8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</row>
    <row r="238" spans="1:65" ht="13.8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</row>
    <row r="239" spans="1:65" ht="13.8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</row>
    <row r="240" spans="1:65" ht="13.8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</row>
    <row r="241" spans="1:65" ht="13.8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</row>
    <row r="242" spans="1:65" ht="13.8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</row>
    <row r="243" spans="1:65" ht="13.8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</row>
    <row r="244" spans="1:65" ht="13.8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</row>
    <row r="245" spans="1:65" ht="13.8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</row>
    <row r="246" spans="1:65" ht="13.8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</row>
    <row r="247" spans="1:65" ht="13.8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</row>
    <row r="248" spans="1:65" ht="13.8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</row>
    <row r="249" spans="1:65" ht="13.8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</row>
    <row r="250" spans="1:65" ht="13.8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</row>
    <row r="251" spans="1:65" ht="13.8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</row>
    <row r="252" spans="1:65" ht="13.8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</row>
    <row r="253" spans="1:65" ht="13.8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</row>
    <row r="254" spans="1:65" ht="13.8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</row>
    <row r="255" spans="1:65" ht="13.8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</row>
    <row r="256" spans="1:65" ht="13.8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</row>
    <row r="257" spans="1:65" ht="13.8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</row>
    <row r="258" spans="1:65" ht="13.8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</row>
    <row r="259" spans="1:65" ht="13.8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</row>
    <row r="260" spans="1:65" ht="13.8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</row>
    <row r="261" spans="1:65" ht="13.8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</row>
    <row r="262" spans="1:65" ht="13.8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</row>
    <row r="263" spans="1:65" ht="13.8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</row>
    <row r="264" spans="1:65" ht="13.8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</row>
    <row r="265" spans="1:65" ht="13.8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</row>
    <row r="266" spans="1:65" ht="13.8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</row>
    <row r="267" spans="1:65" ht="13.8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</row>
    <row r="268" spans="1:65" ht="13.8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</row>
    <row r="269" spans="1:65" ht="13.8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</row>
    <row r="270" spans="1:65" ht="13.8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</row>
    <row r="271" spans="1:65" ht="13.8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</row>
    <row r="272" spans="1:65" ht="13.8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</row>
    <row r="273" spans="1:65" ht="13.8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</row>
    <row r="274" spans="1:65" ht="13.8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</row>
    <row r="275" spans="1:65" ht="13.8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</row>
    <row r="276" spans="1:65" ht="13.8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</row>
    <row r="277" spans="1:65" ht="13.8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</row>
    <row r="278" spans="1:65" ht="13.8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</row>
    <row r="279" spans="1:65" ht="13.8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</row>
    <row r="280" spans="1:65" ht="13.8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</row>
    <row r="281" spans="1:65" ht="13.8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</row>
    <row r="282" spans="1:65" ht="13.8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</row>
    <row r="283" spans="1:65" ht="13.8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</row>
    <row r="284" spans="1:65" ht="13.8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</row>
    <row r="285" spans="1:65" ht="13.8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</row>
    <row r="286" spans="1:65" ht="13.8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</row>
    <row r="287" spans="1:65" ht="13.8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</row>
    <row r="288" spans="1:65" ht="13.8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</row>
    <row r="289" spans="1:65" ht="13.8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</row>
    <row r="290" spans="1:65" ht="13.8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</row>
    <row r="291" spans="1:65" ht="13.8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</row>
    <row r="292" spans="1:65" ht="13.8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</row>
    <row r="293" spans="1:65" ht="13.8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</row>
    <row r="294" spans="1:65" ht="13.8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</row>
    <row r="295" spans="1:65" ht="13.8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</row>
    <row r="296" spans="1:65" ht="13.8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</row>
    <row r="297" spans="1:65" ht="13.8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</row>
    <row r="298" spans="1:65" ht="13.8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</row>
    <row r="299" spans="1:65" ht="13.8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</row>
    <row r="300" spans="1:65" ht="13.8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</row>
    <row r="301" spans="1:65" ht="13.8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</row>
    <row r="302" spans="1:65" ht="13.8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</row>
    <row r="303" spans="1:65" ht="13.8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</row>
    <row r="304" spans="1:65" ht="13.8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</row>
    <row r="305" spans="1:65" ht="13.8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</row>
    <row r="306" spans="1:65" ht="13.8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</row>
    <row r="307" spans="1:65" ht="13.8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</row>
    <row r="308" spans="1:65" ht="13.8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</row>
    <row r="309" spans="1:65" ht="13.8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</row>
    <row r="310" spans="1:65" ht="13.8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</row>
    <row r="311" spans="1:65" ht="13.8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</row>
    <row r="312" spans="1:65" ht="13.8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</row>
    <row r="313" spans="1:65" ht="13.8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</row>
    <row r="314" spans="1:65" ht="13.8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</row>
    <row r="315" spans="1:65" ht="13.8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</row>
    <row r="316" spans="1:65" ht="13.8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</row>
    <row r="317" spans="1:65" ht="13.8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</row>
    <row r="318" spans="1:65" ht="13.8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</row>
    <row r="319" spans="1:65" ht="13.8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</row>
    <row r="320" spans="1:65" ht="13.8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</row>
    <row r="321" spans="1:65" ht="13.8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</row>
    <row r="322" spans="1:65" ht="13.8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</row>
    <row r="323" spans="1:65" ht="13.8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</row>
    <row r="324" spans="1:65" ht="13.8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</row>
    <row r="325" spans="1:65" ht="13.8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</row>
    <row r="326" spans="1:65" ht="13.8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</row>
    <row r="327" spans="1:65" ht="13.8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</row>
    <row r="328" spans="1:65" ht="13.8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</row>
    <row r="329" spans="1:65" ht="13.8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</row>
    <row r="330" spans="1:65" ht="13.8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</row>
    <row r="331" spans="1:65" ht="13.8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</row>
    <row r="332" spans="1:65" ht="13.8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</row>
    <row r="333" spans="1:65" ht="13.8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</row>
    <row r="334" spans="1:65" ht="13.8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</row>
    <row r="335" spans="1:65" ht="13.8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</row>
    <row r="336" spans="1:65" ht="13.8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</row>
    <row r="337" spans="1:65" ht="13.8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</row>
    <row r="338" spans="1:65" ht="13.8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</row>
    <row r="339" spans="1:65" ht="13.8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</row>
    <row r="340" spans="1:65" ht="13.8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</row>
    <row r="341" spans="1:65" ht="13.8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</row>
    <row r="342" spans="1:65" ht="13.8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</row>
    <row r="343" spans="1:65" ht="13.8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</row>
    <row r="344" spans="1:65" ht="13.8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</row>
    <row r="345" spans="1:65" ht="13.8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</row>
    <row r="346" spans="1:65" ht="13.8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</row>
    <row r="347" spans="1:65" ht="13.8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</row>
    <row r="348" spans="1:65" ht="13.8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</row>
    <row r="349" spans="1:65" ht="13.8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</row>
    <row r="350" spans="1:65" ht="13.8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</row>
    <row r="351" spans="1:65" ht="13.8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</row>
    <row r="352" spans="1:65" ht="13.8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</row>
    <row r="353" spans="1:65" ht="13.8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</row>
    <row r="354" spans="1:65" ht="13.8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</row>
    <row r="355" spans="1:65" ht="13.8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</row>
    <row r="356" spans="1:65" ht="13.8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</row>
    <row r="357" spans="1:65" ht="13.8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</row>
    <row r="358" spans="1:65" ht="13.8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</row>
    <row r="359" spans="1:65" ht="13.8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</row>
    <row r="360" spans="1:65" ht="13.8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</row>
    <row r="361" spans="1:65" ht="13.8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</row>
    <row r="362" spans="1:65" ht="13.8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</row>
    <row r="363" spans="1:65" ht="13.8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</row>
    <row r="364" spans="1:65" ht="13.8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</row>
    <row r="365" spans="1:65" ht="13.8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</row>
    <row r="366" spans="1:65" ht="13.8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</row>
    <row r="367" spans="1:65" ht="13.8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</row>
    <row r="368" spans="1:65" ht="13.8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</row>
    <row r="369" spans="1:65" ht="13.8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</row>
    <row r="370" spans="1:65" ht="13.8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</row>
    <row r="371" spans="1:65" ht="13.8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</row>
    <row r="372" spans="1:65" ht="13.8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</row>
    <row r="373" spans="1:65" ht="13.8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</row>
    <row r="374" spans="1:65" ht="13.8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</row>
    <row r="375" spans="1:65" ht="13.8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</row>
    <row r="376" spans="1:65" ht="13.8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</row>
    <row r="377" spans="1:65" ht="13.8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</row>
    <row r="378" spans="1:65" ht="13.8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</row>
    <row r="379" spans="1:65" ht="13.8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</row>
    <row r="380" spans="1:65" ht="13.8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</row>
    <row r="381" spans="1:65" ht="13.8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</row>
    <row r="382" spans="1:65" ht="13.8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</row>
    <row r="383" spans="1:65" ht="13.8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</row>
    <row r="384" spans="1:65" ht="13.8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</row>
    <row r="385" spans="1:65" ht="13.8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</row>
    <row r="386" spans="1:65" ht="13.8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</row>
    <row r="387" spans="1:65" ht="13.8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</row>
    <row r="388" spans="1:65" ht="13.8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</row>
    <row r="389" spans="1:65" ht="13.8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</row>
    <row r="390" spans="1:65" ht="13.8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</row>
    <row r="391" spans="1:65" ht="13.8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</row>
    <row r="392" spans="1:65" ht="13.8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</row>
    <row r="393" spans="1:65" ht="13.8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</row>
    <row r="394" spans="1:65" ht="13.8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</row>
    <row r="395" spans="1:65" ht="13.8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</row>
    <row r="396" spans="1:65" ht="13.8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</row>
    <row r="397" spans="1:65" ht="13.8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</row>
    <row r="398" spans="1:65" ht="13.8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</row>
    <row r="399" spans="1:65" ht="13.8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</row>
    <row r="400" spans="1:65" ht="13.8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</row>
    <row r="401" spans="1:65" ht="13.8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</row>
    <row r="402" spans="1:65" ht="13.8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</row>
    <row r="403" spans="1:65" ht="13.8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</row>
    <row r="404" spans="1:65" ht="13.8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</row>
    <row r="405" spans="1:65" ht="13.8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</row>
    <row r="406" spans="1:65" ht="13.8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</row>
    <row r="407" spans="1:65" ht="13.8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</row>
    <row r="408" spans="1:65" ht="13.8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</row>
    <row r="409" spans="1:65" ht="13.8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</row>
    <row r="410" spans="1:65" ht="13.8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</row>
    <row r="411" spans="1:65" ht="13.8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</row>
    <row r="412" spans="1:65" ht="13.8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</row>
    <row r="413" spans="1:65" ht="13.8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</row>
    <row r="414" spans="1:65" ht="13.8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</row>
    <row r="415" spans="1:65" ht="13.8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</row>
    <row r="416" spans="1:65" ht="13.8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</row>
    <row r="417" spans="1:65" ht="13.8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</row>
    <row r="418" spans="1:65" ht="13.8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</row>
    <row r="419" spans="1:65" ht="13.8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</row>
    <row r="420" spans="1:65" ht="13.8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</row>
    <row r="421" spans="1:65" ht="13.8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</row>
    <row r="422" spans="1:65" ht="13.8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</row>
    <row r="423" spans="1:65" ht="13.8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</row>
    <row r="424" spans="1:65" ht="13.8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</row>
    <row r="425" spans="1:65" ht="13.8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</row>
    <row r="426" spans="1:65" ht="13.8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</row>
    <row r="427" spans="1:65" ht="13.8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</row>
    <row r="428" spans="1:65" ht="13.8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</row>
    <row r="429" spans="1:65" ht="13.8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</row>
    <row r="430" spans="1:65" ht="13.8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</row>
    <row r="431" spans="1:65" ht="13.8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</row>
    <row r="432" spans="1:65" ht="13.8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</row>
    <row r="433" spans="1:65" ht="13.8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</row>
    <row r="434" spans="1:65" ht="13.8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</row>
    <row r="435" spans="1:65" ht="13.8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</row>
    <row r="436" spans="1:65" ht="13.8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</row>
    <row r="437" spans="1:65" ht="13.8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</row>
    <row r="438" spans="1:65" ht="13.8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</row>
    <row r="439" spans="1:65" ht="13.8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</row>
    <row r="440" spans="1:65" ht="13.8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</row>
    <row r="441" spans="1:65" ht="13.8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</row>
    <row r="442" spans="1:65" ht="13.8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</row>
    <row r="443" spans="1:65" ht="13.8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</row>
    <row r="444" spans="1:65" ht="13.8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</row>
    <row r="445" spans="1:65" ht="13.8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</row>
    <row r="446" spans="1:65" ht="13.8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</row>
    <row r="447" spans="1:65" ht="13.8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</row>
    <row r="448" spans="1:65" ht="13.8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</row>
    <row r="449" spans="1:65" ht="13.8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</row>
    <row r="450" spans="1:65" ht="13.8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</row>
    <row r="451" spans="1:65" ht="13.8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</row>
    <row r="452" spans="1:65" ht="13.8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</row>
    <row r="453" spans="1:65" ht="13.8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</row>
    <row r="454" spans="1:65" ht="13.8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</row>
    <row r="455" spans="1:65" ht="13.8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</row>
    <row r="456" spans="1:65" ht="13.8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</row>
    <row r="457" spans="1:65" ht="13.8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</row>
    <row r="458" spans="1:65" ht="13.8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</row>
    <row r="459" spans="1:65" ht="13.8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</row>
    <row r="460" spans="1:65" ht="13.8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</row>
    <row r="461" spans="1:65" ht="13.8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</row>
    <row r="462" spans="1:65" ht="13.8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</row>
    <row r="463" spans="1:65" ht="13.8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</row>
    <row r="464" spans="1:65" ht="13.8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</row>
    <row r="465" spans="1:65" ht="13.8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</row>
    <row r="466" spans="1:65" ht="13.8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</row>
    <row r="467" spans="1:65" ht="13.8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</row>
    <row r="468" spans="1:65" ht="13.8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</row>
    <row r="469" spans="1:65" ht="13.8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</row>
    <row r="470" spans="1:65" ht="13.8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</row>
    <row r="471" spans="1:65" ht="13.8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</row>
    <row r="472" spans="1:65" ht="13.8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</row>
    <row r="473" spans="1:65" ht="13.8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</row>
    <row r="474" spans="1:65" ht="13.8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</row>
    <row r="475" spans="1:65" ht="13.8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</row>
    <row r="476" spans="1:65" ht="13.8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</row>
    <row r="477" spans="1:65" ht="13.8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</row>
    <row r="478" spans="1:65" ht="13.8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</row>
    <row r="479" spans="1:65" ht="13.8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</row>
    <row r="480" spans="1:65" ht="13.8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</row>
    <row r="481" spans="1:65" ht="13.8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</row>
    <row r="482" spans="1:65" ht="13.8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</row>
    <row r="483" spans="1:65" ht="13.8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</row>
    <row r="484" spans="1:65" ht="13.8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</row>
    <row r="485" spans="1:65" ht="13.8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</row>
    <row r="486" spans="1:65" ht="13.8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</row>
    <row r="487" spans="1:65" ht="13.8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</row>
    <row r="488" spans="1:65" ht="13.8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</row>
    <row r="489" spans="1:65" ht="13.8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</row>
    <row r="490" spans="1:65" ht="13.8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</row>
    <row r="491" spans="1:65" ht="13.8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</row>
    <row r="492" spans="1:65" ht="13.8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</row>
    <row r="493" spans="1:65" ht="13.8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</row>
    <row r="494" spans="1:65" ht="13.8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</row>
    <row r="495" spans="1:65" ht="13.8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</row>
    <row r="496" spans="1:65" ht="13.8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</row>
    <row r="497" spans="1:65" ht="13.8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</row>
    <row r="498" spans="1:65" ht="13.8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</row>
    <row r="499" spans="1:65" ht="13.8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</row>
    <row r="500" spans="1:65" ht="13.8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</row>
    <row r="501" spans="1:65" ht="13.8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</row>
    <row r="502" spans="1:65" ht="13.8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</row>
    <row r="503" spans="1:65" ht="13.8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</row>
    <row r="504" spans="1:65" ht="13.8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</row>
    <row r="505" spans="1:65" ht="13.8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</row>
    <row r="506" spans="1:65" ht="13.8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</row>
    <row r="507" spans="1:65" ht="13.8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</row>
    <row r="508" spans="1:65" ht="13.8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</row>
    <row r="509" spans="1:65" ht="13.8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</row>
    <row r="510" spans="1:65" ht="13.8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</row>
    <row r="511" spans="1:65" ht="13.8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</row>
    <row r="512" spans="1:65" ht="13.8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</row>
    <row r="513" spans="1:65" ht="13.8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</row>
    <row r="514" spans="1:65" ht="13.8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</row>
    <row r="515" spans="1:65" ht="13.8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</row>
    <row r="516" spans="1:65" ht="13.8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</row>
    <row r="517" spans="1:65" ht="13.8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</row>
    <row r="518" spans="1:65" ht="13.8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</row>
    <row r="519" spans="1:65" ht="13.8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</row>
    <row r="520" spans="1:65" ht="13.8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</row>
    <row r="521" spans="1:65" ht="13.8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</row>
    <row r="522" spans="1:65" ht="13.8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</row>
    <row r="523" spans="1:65" ht="13.8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</row>
    <row r="524" spans="1:65" ht="13.8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</row>
    <row r="525" spans="1:65" ht="13.8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</row>
    <row r="526" spans="1:65" ht="13.8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</row>
    <row r="527" spans="1:65" ht="13.8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</row>
    <row r="528" spans="1:65" ht="13.8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</row>
    <row r="529" spans="1:65" ht="13.8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</row>
    <row r="530" spans="1:65" ht="13.8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</row>
    <row r="531" spans="1:65" ht="13.8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</row>
    <row r="532" spans="1:65" ht="13.8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</row>
    <row r="533" spans="1:65" ht="13.8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</row>
    <row r="534" spans="1:65" ht="13.8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</row>
    <row r="535" spans="1:65" ht="13.8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</row>
    <row r="536" spans="1:65" ht="13.8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</row>
    <row r="537" spans="1:65" ht="13.8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</row>
    <row r="538" spans="1:65" ht="13.8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</row>
    <row r="539" spans="1:65" ht="13.8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</row>
    <row r="540" spans="1:65" ht="13.8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</row>
    <row r="541" spans="1:65" ht="13.8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</row>
    <row r="542" spans="1:65" ht="13.8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</row>
    <row r="543" spans="1:65" ht="13.8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</row>
    <row r="544" spans="1:65" ht="13.8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</row>
    <row r="545" spans="1:65" ht="13.8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</row>
    <row r="546" spans="1:65" ht="13.8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</row>
    <row r="547" spans="1:65" ht="13.8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</row>
    <row r="548" spans="1:65" ht="13.8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</row>
    <row r="549" spans="1:65" ht="13.8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</row>
    <row r="550" spans="1:65" ht="13.8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</row>
    <row r="551" spans="1:65" ht="13.8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</row>
    <row r="552" spans="1:65" ht="13.8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</row>
    <row r="553" spans="1:65" ht="13.8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</row>
    <row r="554" spans="1:65" ht="13.8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</row>
    <row r="555" spans="1:65" ht="13.8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</row>
    <row r="556" spans="1:65" ht="13.8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</row>
    <row r="557" spans="1:65" ht="13.8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</row>
    <row r="558" spans="1:65" ht="13.8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</row>
    <row r="559" spans="1:65" ht="13.8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</row>
    <row r="560" spans="1:65" ht="13.8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</row>
    <row r="561" spans="1:65" ht="13.8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</row>
    <row r="562" spans="1:65" ht="13.8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</row>
    <row r="563" spans="1:65" ht="13.8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</row>
    <row r="564" spans="1:65" ht="13.8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</row>
    <row r="565" spans="1:65" ht="13.8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</row>
    <row r="566" spans="1:65" ht="13.8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</row>
    <row r="567" spans="1:65" ht="13.8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</row>
    <row r="568" spans="1:65" ht="13.8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</row>
    <row r="569" spans="1:65" ht="13.8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</row>
    <row r="570" spans="1:65" ht="13.8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</row>
    <row r="571" spans="1:65" ht="13.8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</row>
    <row r="572" spans="1:65" ht="13.8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</row>
    <row r="573" spans="1:65" ht="13.8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</row>
    <row r="574" spans="1:65" ht="13.8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</row>
    <row r="575" spans="1:65" ht="13.8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</row>
    <row r="576" spans="1:65" ht="13.8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</row>
    <row r="577" spans="1:65" ht="13.8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</row>
    <row r="578" spans="1:65" ht="13.8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</row>
    <row r="579" spans="1:65" ht="13.8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</row>
    <row r="580" spans="1:65" ht="13.8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</row>
    <row r="581" spans="1:65" ht="13.8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</row>
    <row r="582" spans="1:65" ht="13.8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</row>
    <row r="583" spans="1:65" ht="13.8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</row>
    <row r="584" spans="1:65" ht="13.8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</row>
    <row r="585" spans="1:65" ht="13.8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</row>
    <row r="586" spans="1:65" ht="13.8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</row>
    <row r="587" spans="1:65" ht="13.8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</row>
    <row r="588" spans="1:65" ht="13.8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</row>
    <row r="589" spans="1:65" ht="13.8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</row>
    <row r="590" spans="1:65" ht="13.8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</row>
    <row r="591" spans="1:65" ht="13.8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</row>
    <row r="592" spans="1:65" ht="13.8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</row>
    <row r="593" spans="1:65" ht="13.8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</row>
    <row r="594" spans="1:65" ht="13.8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</row>
    <row r="595" spans="1:65" ht="13.8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</row>
    <row r="596" spans="1:65" ht="13.8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</row>
    <row r="597" spans="1:65" ht="13.8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</row>
    <row r="598" spans="1:65" ht="13.8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</row>
    <row r="599" spans="1:65" ht="13.8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</row>
    <row r="600" spans="1:65" ht="13.8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</row>
    <row r="601" spans="1:65" ht="13.8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</row>
    <row r="602" spans="1:65" ht="13.8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</row>
    <row r="603" spans="1:65" ht="13.8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</row>
    <row r="604" spans="1:65" ht="13.8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</row>
    <row r="605" spans="1:65" ht="13.8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</row>
    <row r="606" spans="1:65" ht="13.8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</row>
    <row r="607" spans="1:65" ht="13.8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</row>
    <row r="608" spans="1:65" ht="13.8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</row>
    <row r="609" spans="1:65" ht="13.8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</row>
    <row r="610" spans="1:65" ht="13.8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</row>
    <row r="611" spans="1:65" ht="13.8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</row>
    <row r="612" spans="1:65" ht="13.8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</row>
    <row r="613" spans="1:65" ht="13.8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</row>
    <row r="614" spans="1:65" ht="13.8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</row>
    <row r="615" spans="1:65" ht="13.8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</row>
    <row r="616" spans="1:65" ht="13.8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</row>
    <row r="617" spans="1:65" ht="13.8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</row>
    <row r="618" spans="1:65" ht="13.8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</row>
    <row r="619" spans="1:65" ht="13.8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</row>
    <row r="620" spans="1:65" ht="13.8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</row>
    <row r="621" spans="1:65" ht="13.8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</row>
    <row r="622" spans="1:65" ht="13.8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</row>
    <row r="623" spans="1:65" ht="13.8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</row>
    <row r="624" spans="1:65" ht="13.8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</row>
    <row r="625" spans="1:65" ht="13.8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</row>
    <row r="626" spans="1:65" ht="13.8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</row>
    <row r="627" spans="1:65" ht="13.8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</row>
    <row r="628" spans="1:65" ht="13.8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</row>
    <row r="629" spans="1:65" ht="13.8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</row>
    <row r="630" spans="1:65" ht="13.8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</row>
    <row r="631" spans="1:65" ht="13.8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</row>
    <row r="632" spans="1:65" ht="13.8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</row>
    <row r="633" spans="1:65" ht="13.8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</row>
    <row r="634" spans="1:65" ht="13.8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</row>
    <row r="635" spans="1:65" ht="13.8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</row>
    <row r="636" spans="1:65" ht="13.8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</row>
    <row r="637" spans="1:65" ht="13.8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</row>
    <row r="638" spans="1:65" ht="13.8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</row>
    <row r="639" spans="1:65" ht="13.8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</row>
    <row r="640" spans="1:65" ht="13.8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</row>
    <row r="641" spans="1:65" ht="13.8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</row>
    <row r="642" spans="1:65" ht="13.8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</row>
    <row r="643" spans="1:65" ht="13.8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</row>
    <row r="644" spans="1:65" ht="13.8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</row>
    <row r="645" spans="1:65" ht="13.8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</row>
    <row r="646" spans="1:65" ht="13.8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</row>
    <row r="647" spans="1:65" ht="13.8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</row>
    <row r="648" spans="1:65" ht="13.8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</row>
    <row r="649" spans="1:65" ht="13.8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</row>
    <row r="650" spans="1:65" ht="13.8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</row>
    <row r="651" spans="1:65" ht="13.8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</row>
    <row r="652" spans="1:65" ht="13.8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</row>
    <row r="653" spans="1:65" ht="13.8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</row>
    <row r="654" spans="1:65" ht="13.8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</row>
    <row r="655" spans="1:65" ht="13.8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</row>
    <row r="656" spans="1:65" ht="13.8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</row>
    <row r="657" spans="1:65" ht="13.8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</row>
    <row r="658" spans="1:65" ht="13.8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</row>
    <row r="659" spans="1:65" ht="13.8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</row>
    <row r="660" spans="1:65" ht="13.8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</row>
    <row r="661" spans="1:65" ht="13.8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</row>
    <row r="662" spans="1:65" ht="13.8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</row>
    <row r="663" spans="1:65" ht="13.8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</row>
    <row r="664" spans="1:65" ht="13.8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</row>
    <row r="665" spans="1:65" ht="13.8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</row>
    <row r="666" spans="1:65" ht="13.8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</row>
    <row r="667" spans="1:65" ht="13.8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</row>
    <row r="668" spans="1:65" ht="13.8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</row>
    <row r="669" spans="1:65" ht="13.8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</row>
    <row r="670" spans="1:65" ht="13.8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</row>
    <row r="671" spans="1:65" ht="13.8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</row>
    <row r="672" spans="1:65" ht="13.8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</row>
    <row r="673" spans="1:65" ht="13.8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</row>
    <row r="674" spans="1:65" ht="13.8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</row>
    <row r="675" spans="1:65" ht="13.8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</row>
    <row r="676" spans="1:65" ht="13.8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</row>
    <row r="677" spans="1:65" ht="13.8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</row>
    <row r="678" spans="1:65" ht="13.8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</row>
    <row r="679" spans="1:65" ht="13.8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</row>
    <row r="680" spans="1:65" ht="13.8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</row>
    <row r="681" spans="1:65" ht="13.8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</row>
    <row r="682" spans="1:65" ht="13.8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</row>
    <row r="683" spans="1:65" ht="13.8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</row>
    <row r="684" spans="1:65" ht="13.8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</row>
    <row r="685" spans="1:65" ht="13.8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</row>
    <row r="686" spans="1:65" ht="13.8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</row>
    <row r="687" spans="1:65" ht="13.8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</row>
    <row r="688" spans="1:65" ht="13.8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</row>
    <row r="689" spans="1:65" ht="13.8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</row>
    <row r="690" spans="1:65" ht="13.8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</row>
    <row r="691" spans="1:65" ht="13.8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</row>
    <row r="692" spans="1:65" ht="13.8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</row>
    <row r="693" spans="1:65" ht="13.8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</row>
    <row r="694" spans="1:65" ht="13.8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</row>
    <row r="695" spans="1:65" ht="13.8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</row>
    <row r="696" spans="1:65" ht="13.8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</row>
    <row r="697" spans="1:65" ht="13.8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</row>
    <row r="698" spans="1:65" ht="13.8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</row>
    <row r="699" spans="1:65" ht="13.8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</row>
    <row r="700" spans="1:65" ht="13.8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</row>
    <row r="701" spans="1:65" ht="13.8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</row>
    <row r="702" spans="1:65" ht="13.8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</row>
    <row r="703" spans="1:65" ht="13.8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</row>
    <row r="704" spans="1:65" ht="13.8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</row>
    <row r="705" spans="1:65" ht="13.8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</row>
    <row r="706" spans="1:65" ht="13.8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</row>
    <row r="707" spans="1:65" ht="13.8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</row>
    <row r="708" spans="1:65" ht="13.8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</row>
    <row r="709" spans="1:65" ht="13.8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</row>
    <row r="710" spans="1:65" ht="13.8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</row>
    <row r="711" spans="1:65" ht="13.8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</row>
    <row r="712" spans="1:65" ht="13.8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</row>
    <row r="713" spans="1:65" ht="13.8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</row>
    <row r="714" spans="1:65" ht="13.8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</row>
    <row r="715" spans="1:65" ht="13.8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</row>
    <row r="716" spans="1:65" ht="13.8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</row>
    <row r="717" spans="1:65" ht="13.8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</row>
    <row r="718" spans="1:65" ht="13.8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</row>
    <row r="719" spans="1:65" ht="13.8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</row>
    <row r="720" spans="1:65" ht="13.8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</row>
    <row r="721" spans="1:65" ht="13.8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</row>
    <row r="722" spans="1:65" ht="13.8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</row>
    <row r="723" spans="1:65" ht="13.8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</row>
    <row r="724" spans="1:65" ht="13.8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</row>
    <row r="725" spans="1:65" ht="13.8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</row>
    <row r="726" spans="1:65" ht="13.8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</row>
    <row r="727" spans="1:65" ht="13.8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</row>
    <row r="728" spans="1:65" ht="13.8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</row>
    <row r="729" spans="1:65" ht="13.8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</row>
    <row r="730" spans="1:65" ht="13.8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</row>
    <row r="731" spans="1:65" ht="13.8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</row>
    <row r="732" spans="1:65" ht="13.8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</row>
    <row r="733" spans="1:65" ht="13.8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</row>
    <row r="734" spans="1:65" ht="13.8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</row>
    <row r="735" spans="1:65" ht="13.8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</row>
    <row r="736" spans="1:65" ht="13.8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</row>
    <row r="737" spans="1:65" ht="13.8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</row>
    <row r="738" spans="1:65" ht="13.8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</row>
    <row r="739" spans="1:65" ht="13.8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</row>
    <row r="740" spans="1:65" ht="13.8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</row>
    <row r="741" spans="1:65" ht="13.8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</row>
    <row r="742" spans="1:65" ht="13.8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</row>
    <row r="743" spans="1:65" ht="13.8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</row>
    <row r="744" spans="1:65" ht="13.8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</row>
    <row r="745" spans="1:65" ht="13.8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</row>
    <row r="746" spans="1:65" ht="13.8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</row>
    <row r="747" spans="1:65" ht="13.8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</row>
    <row r="748" spans="1:65" ht="13.8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</row>
    <row r="749" spans="1:65" ht="13.8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</row>
    <row r="750" spans="1:65" ht="13.8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</row>
    <row r="751" spans="1:65" ht="13.8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</row>
    <row r="752" spans="1:65" ht="13.8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</row>
    <row r="753" spans="1:65" ht="13.8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</row>
    <row r="754" spans="1:65" ht="13.8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</row>
    <row r="755" spans="1:65" ht="13.8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</row>
    <row r="756" spans="1:65" ht="13.8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</row>
    <row r="757" spans="1:65" ht="13.8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</row>
    <row r="758" spans="1:65" ht="13.8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</row>
    <row r="759" spans="1:65" ht="13.8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</row>
    <row r="760" spans="1:65" ht="13.8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</row>
    <row r="761" spans="1:65" ht="13.8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</row>
    <row r="762" spans="1:65" ht="13.8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</row>
    <row r="763" spans="1:65" ht="13.8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</row>
    <row r="764" spans="1:65" ht="13.8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</row>
    <row r="765" spans="1:65" ht="13.8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</row>
    <row r="766" spans="1:65" ht="13.8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</row>
    <row r="767" spans="1:65" ht="13.8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</row>
    <row r="768" spans="1:65" ht="13.8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</row>
    <row r="769" spans="1:65" ht="13.8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</row>
    <row r="770" spans="1:65" ht="13.8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</row>
    <row r="771" spans="1:65" ht="13.8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</row>
    <row r="772" spans="1:65" ht="13.8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</row>
    <row r="773" spans="1:65" ht="13.8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</row>
    <row r="774" spans="1:65" ht="13.8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</row>
    <row r="775" spans="1:65" ht="13.8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</row>
    <row r="776" spans="1:65" ht="13.8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</row>
    <row r="777" spans="1:65" ht="13.8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</row>
    <row r="778" spans="1:65" ht="13.8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</row>
    <row r="779" spans="1:65" ht="13.8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</row>
    <row r="780" spans="1:65" ht="13.8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</row>
    <row r="781" spans="1:65" ht="13.8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</row>
    <row r="782" spans="1:65" ht="13.8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</row>
    <row r="783" spans="1:65" ht="13.8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</row>
    <row r="784" spans="1:65" ht="13.8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</row>
    <row r="785" spans="1:65" ht="13.8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</row>
    <row r="786" spans="1:65" ht="13.8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</row>
    <row r="787" spans="1:65" ht="13.8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</row>
    <row r="788" spans="1:65" ht="13.8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</row>
    <row r="789" spans="1:65" ht="13.8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</row>
    <row r="790" spans="1:65" ht="13.8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</row>
    <row r="791" spans="1:65" ht="13.8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</row>
    <row r="792" spans="1:65" ht="13.8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</row>
    <row r="793" spans="1:65" ht="13.8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</row>
    <row r="794" spans="1:65" ht="13.8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</row>
    <row r="795" spans="1:65" ht="13.8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</row>
    <row r="796" spans="1:65" ht="13.8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</row>
    <row r="797" spans="1:65" ht="13.8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</row>
    <row r="798" spans="1:65" ht="13.8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</row>
    <row r="799" spans="1:65" ht="13.8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</row>
    <row r="800" spans="1:65" ht="13.8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</row>
    <row r="801" spans="1:65" ht="13.8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</row>
    <row r="802" spans="1:65" ht="13.8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</row>
    <row r="803" spans="1:65" ht="13.8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</row>
    <row r="804" spans="1:65" ht="13.8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</row>
    <row r="805" spans="1:65" ht="13.8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</row>
    <row r="806" spans="1:65" ht="13.8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</row>
    <row r="807" spans="1:65" ht="13.8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</row>
    <row r="808" spans="1:65" ht="13.8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</row>
    <row r="809" spans="1:65" ht="13.8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</row>
    <row r="810" spans="1:65" ht="13.8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</row>
    <row r="811" spans="1:65" ht="13.8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</row>
    <row r="812" spans="1:65" ht="13.8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</row>
    <row r="813" spans="1:65" ht="13.8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</row>
    <row r="814" spans="1:65" ht="13.8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</row>
    <row r="815" spans="1:65" ht="13.8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</row>
    <row r="816" spans="1:65" ht="13.8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</row>
    <row r="817" spans="1:65" ht="13.8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</row>
    <row r="818" spans="1:65" ht="13.8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</row>
    <row r="819" spans="1:65" ht="13.8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</row>
    <row r="820" spans="1:65" ht="13.8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</row>
    <row r="821" spans="1:65" ht="13.8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</row>
    <row r="822" spans="1:65" ht="13.8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</row>
    <row r="823" spans="1:65" ht="13.8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</row>
    <row r="824" spans="1:65" ht="13.8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</row>
    <row r="825" spans="1:65" ht="13.8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</row>
    <row r="826" spans="1:65" ht="13.8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</row>
    <row r="827" spans="1:65" ht="13.8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</row>
    <row r="828" spans="1:65" ht="13.8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</row>
    <row r="829" spans="1:65" ht="13.8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</row>
    <row r="830" spans="1:65" ht="13.8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</row>
    <row r="831" spans="1:65" ht="13.8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</row>
    <row r="832" spans="1:65" ht="13.8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</row>
    <row r="833" spans="1:65" ht="13.8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</row>
    <row r="834" spans="1:65" ht="13.8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</row>
    <row r="835" spans="1:65" ht="13.8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</row>
    <row r="836" spans="1:65" ht="13.8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</row>
    <row r="837" spans="1:65" ht="13.8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</row>
    <row r="838" spans="1:65" ht="13.8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</row>
    <row r="839" spans="1:65" ht="13.8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</row>
    <row r="840" spans="1:65" ht="13.8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</row>
    <row r="841" spans="1:65" ht="13.8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</row>
    <row r="842" spans="1:65" ht="13.8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</row>
    <row r="843" spans="1:65" ht="13.8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</row>
    <row r="844" spans="1:65" ht="13.8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</row>
    <row r="845" spans="1:65" ht="13.8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</row>
    <row r="846" spans="1:65" ht="13.8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</row>
    <row r="847" spans="1:65" ht="13.8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</row>
    <row r="848" spans="1:65" ht="13.8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</row>
    <row r="849" spans="1:65" ht="13.8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</row>
    <row r="850" spans="1:65" ht="13.8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</row>
    <row r="851" spans="1:65" ht="13.8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</row>
    <row r="852" spans="1:65" ht="13.8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</row>
    <row r="853" spans="1:65" ht="13.8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</row>
    <row r="854" spans="1:65" ht="13.8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</row>
    <row r="855" spans="1:65" ht="13.8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</row>
    <row r="856" spans="1:65" ht="13.8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</row>
    <row r="857" spans="1:65" ht="13.8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</row>
    <row r="858" spans="1:65" ht="13.8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</row>
    <row r="859" spans="1:65" ht="13.8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</row>
    <row r="860" spans="1:65" ht="13.8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</row>
    <row r="861" spans="1:65" ht="13.8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</row>
    <row r="862" spans="1:65" ht="13.8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</row>
    <row r="863" spans="1:65" ht="13.8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</row>
    <row r="864" spans="1:65" ht="13.8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</row>
    <row r="865" spans="1:65" ht="13.8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</row>
    <row r="866" spans="1:65" ht="13.8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</row>
    <row r="867" spans="1:65" ht="13.8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</row>
    <row r="868" spans="1:65" ht="13.8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</row>
    <row r="869" spans="1:65" ht="13.8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</row>
    <row r="870" spans="1:65" ht="13.8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</row>
    <row r="871" spans="1:65" ht="13.8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</row>
    <row r="872" spans="1:65" ht="13.8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</row>
    <row r="873" spans="1:65" ht="13.8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</row>
    <row r="874" spans="1:65" ht="13.8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</row>
    <row r="875" spans="1:65" ht="13.8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</row>
    <row r="876" spans="1:65" ht="13.8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</row>
    <row r="877" spans="1:65" ht="13.8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</row>
    <row r="878" spans="1:65" ht="13.8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</row>
    <row r="879" spans="1:65" ht="13.8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</row>
    <row r="880" spans="1:65" ht="13.8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</row>
    <row r="881" spans="1:65" ht="13.8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</row>
    <row r="882" spans="1:65" ht="13.8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</row>
    <row r="883" spans="1:65" ht="13.8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</row>
    <row r="884" spans="1:65" ht="13.8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</row>
    <row r="885" spans="1:65" ht="13.8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</row>
    <row r="886" spans="1:65" ht="13.8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</row>
    <row r="887" spans="1:65" ht="13.8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</row>
    <row r="888" spans="1:65" ht="13.8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</row>
    <row r="889" spans="1:65" ht="13.8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</row>
    <row r="890" spans="1:65" ht="13.8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</row>
    <row r="891" spans="1:65" ht="13.8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</row>
    <row r="892" spans="1:65" ht="13.8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</row>
    <row r="893" spans="1:65" ht="13.8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</row>
    <row r="894" spans="1:65" ht="13.8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</row>
    <row r="895" spans="1:65" ht="13.8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</row>
    <row r="896" spans="1:65" ht="13.8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</row>
    <row r="897" spans="1:65" ht="13.8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</row>
    <row r="898" spans="1:65" ht="13.8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</row>
    <row r="899" spans="1:65" ht="13.8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</row>
    <row r="900" spans="1:65" ht="13.8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</row>
    <row r="901" spans="1:65" ht="13.8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</row>
    <row r="902" spans="1:65" ht="13.8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</row>
    <row r="903" spans="1:65" ht="13.8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</row>
    <row r="904" spans="1:65" ht="13.8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</row>
    <row r="905" spans="1:65" ht="13.8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</row>
    <row r="906" spans="1:65" ht="13.8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</row>
    <row r="907" spans="1:65" ht="13.8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</row>
    <row r="908" spans="1:65" ht="13.8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</row>
    <row r="909" spans="1:65" ht="13.8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</row>
    <row r="910" spans="1:65" ht="13.8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</row>
    <row r="911" spans="1:65" ht="13.8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</row>
    <row r="912" spans="1:65" ht="13.8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</row>
    <row r="913" spans="1:65" ht="13.8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</row>
    <row r="914" spans="1:65" ht="13.8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</row>
    <row r="915" spans="1:65" ht="13.8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</row>
    <row r="916" spans="1:65" ht="13.8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</row>
    <row r="917" spans="1:65" ht="13.8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</row>
    <row r="918" spans="1:65" ht="13.8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</row>
    <row r="919" spans="1:65" ht="13.8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</row>
    <row r="920" spans="1:65" ht="13.8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</row>
    <row r="921" spans="1:65" ht="13.8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</row>
    <row r="922" spans="1:65" ht="13.8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</row>
    <row r="923" spans="1:65" ht="13.8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</row>
    <row r="924" spans="1:65" ht="13.8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</row>
    <row r="925" spans="1:65" ht="13.8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</row>
    <row r="926" spans="1:65" ht="13.8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</row>
    <row r="927" spans="1:65" ht="13.8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</row>
    <row r="928" spans="1:65" ht="13.8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</row>
    <row r="929" spans="1:65" ht="13.8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</row>
    <row r="930" spans="1:65" ht="13.8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</row>
    <row r="931" spans="1:65" ht="13.8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</row>
    <row r="932" spans="1:65" ht="13.8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</row>
    <row r="933" spans="1:65" ht="13.8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</row>
    <row r="934" spans="1:65" ht="13.8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</row>
    <row r="935" spans="1:65" ht="13.8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</row>
    <row r="936" spans="1:65" ht="13.8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</row>
    <row r="937" spans="1:65" ht="13.8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</row>
    <row r="938" spans="1:65" ht="13.8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</row>
    <row r="939" spans="1:65" ht="13.8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</row>
    <row r="940" spans="1:65" ht="13.8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</row>
    <row r="941" spans="1:65" ht="13.8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</row>
    <row r="942" spans="1:65" ht="13.8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</row>
    <row r="943" spans="1:65" ht="13.8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</row>
    <row r="944" spans="1:65" ht="13.8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</row>
    <row r="945" spans="1:65" ht="13.8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</row>
    <row r="946" spans="1:65" ht="13.8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</row>
    <row r="947" spans="1:65" ht="13.8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</row>
    <row r="948" spans="1:65" ht="13.8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</row>
    <row r="949" spans="1:65" ht="13.8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</row>
    <row r="950" spans="1:65" ht="13.8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</row>
    <row r="951" spans="1:65" ht="13.8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</row>
    <row r="952" spans="1:65" ht="13.8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</row>
    <row r="953" spans="1:65" ht="13.8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</row>
    <row r="954" spans="1:65" ht="13.8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</row>
    <row r="955" spans="1:65" ht="13.8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</row>
    <row r="956" spans="1:65" ht="13.8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</row>
    <row r="957" spans="1:65" ht="13.8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</row>
    <row r="958" spans="1:65" ht="13.8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</row>
    <row r="959" spans="1:65" ht="13.8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</row>
    <row r="960" spans="1:65" ht="13.8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</row>
    <row r="961" spans="1:65" ht="13.8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</row>
  </sheetData>
  <autoFilter ref="A1:N4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Quaterly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Ramirez</dc:creator>
  <cp:lastModifiedBy>Patricia Ramirez</cp:lastModifiedBy>
  <dcterms:created xsi:type="dcterms:W3CDTF">2025-02-27T16:15:03Z</dcterms:created>
  <dcterms:modified xsi:type="dcterms:W3CDTF">2025-03-04T20:55:44Z</dcterms:modified>
</cp:coreProperties>
</file>